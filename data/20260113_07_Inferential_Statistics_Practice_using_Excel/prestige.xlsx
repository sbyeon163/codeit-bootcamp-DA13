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hyeon\Workspace\코드잇_스프린트_DA_13기\7. 엑셀을활용한추론통계실습\"/>
    </mc:Choice>
  </mc:AlternateContent>
  <xr:revisionPtr revIDLastSave="0" documentId="13_ncr:1_{AFAF4F99-3D55-4E8E-ABAA-C2B8AB4CAAAB}" xr6:coauthVersionLast="47" xr6:coauthVersionMax="47" xr10:uidLastSave="{00000000-0000-0000-0000-000000000000}"/>
  <bookViews>
    <workbookView xWindow="12710" yWindow="0" windowWidth="12980" windowHeight="15370" activeTab="1" xr2:uid="{BFC2B6E6-3325-D744-BAAF-59FFBDB5E4A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I6" i="2"/>
  <c r="F3" i="2"/>
  <c r="H3" i="2"/>
  <c r="I3" i="2"/>
  <c r="F4" i="2"/>
  <c r="H4" i="2"/>
  <c r="I4" i="2"/>
  <c r="F5" i="2"/>
  <c r="H5" i="2"/>
  <c r="I5" i="2"/>
  <c r="F6" i="2"/>
  <c r="H6" i="2"/>
  <c r="F7" i="2"/>
  <c r="H7" i="2"/>
  <c r="I7" i="2"/>
  <c r="F8" i="2"/>
  <c r="H8" i="2"/>
  <c r="I8" i="2"/>
  <c r="F9" i="2"/>
  <c r="I9" i="2"/>
  <c r="F10" i="2"/>
  <c r="H10" i="2"/>
  <c r="I10" i="2"/>
  <c r="F11" i="2"/>
  <c r="H11" i="2"/>
  <c r="I11" i="2"/>
  <c r="F12" i="2"/>
  <c r="H12" i="2"/>
  <c r="I12" i="2"/>
  <c r="F13" i="2"/>
  <c r="H13" i="2"/>
  <c r="I13" i="2"/>
  <c r="F14" i="2"/>
  <c r="H14" i="2"/>
  <c r="I14" i="2"/>
  <c r="F15" i="2"/>
  <c r="H15" i="2"/>
  <c r="I15" i="2"/>
  <c r="F16" i="2"/>
  <c r="H16" i="2"/>
  <c r="I16" i="2"/>
  <c r="F17" i="2"/>
  <c r="H17" i="2"/>
  <c r="I17" i="2"/>
  <c r="F18" i="2"/>
  <c r="H18" i="2"/>
  <c r="I18" i="2"/>
  <c r="F19" i="2"/>
  <c r="H19" i="2"/>
  <c r="I19" i="2"/>
  <c r="F20" i="2"/>
  <c r="H20" i="2"/>
  <c r="I20" i="2"/>
  <c r="F21" i="2"/>
  <c r="H21" i="2"/>
  <c r="I21" i="2"/>
  <c r="F22" i="2"/>
  <c r="H22" i="2"/>
  <c r="I22" i="2"/>
  <c r="F23" i="2"/>
  <c r="H23" i="2"/>
  <c r="I23" i="2"/>
  <c r="F24" i="2"/>
  <c r="H24" i="2"/>
  <c r="I24" i="2"/>
  <c r="F25" i="2"/>
  <c r="H25" i="2"/>
  <c r="I25" i="2"/>
  <c r="F26" i="2"/>
  <c r="H26" i="2"/>
  <c r="I26" i="2"/>
  <c r="F27" i="2"/>
  <c r="H27" i="2"/>
  <c r="I27" i="2"/>
  <c r="F28" i="2"/>
  <c r="H28" i="2"/>
  <c r="I28" i="2"/>
  <c r="F29" i="2"/>
  <c r="H29" i="2"/>
  <c r="I29" i="2"/>
  <c r="F30" i="2"/>
  <c r="H30" i="2"/>
  <c r="I30" i="2"/>
  <c r="F31" i="2"/>
  <c r="H31" i="2"/>
  <c r="I31" i="2"/>
  <c r="F32" i="2"/>
  <c r="H32" i="2"/>
  <c r="I32" i="2"/>
  <c r="F33" i="2"/>
  <c r="H33" i="2"/>
  <c r="I33" i="2"/>
  <c r="F34" i="2"/>
  <c r="H34" i="2"/>
  <c r="I34" i="2"/>
  <c r="F35" i="2"/>
  <c r="H35" i="2"/>
  <c r="I35" i="2"/>
  <c r="F36" i="2"/>
  <c r="H36" i="2"/>
  <c r="I36" i="2"/>
  <c r="F37" i="2"/>
  <c r="H37" i="2"/>
  <c r="I37" i="2"/>
  <c r="F38" i="2"/>
  <c r="H38" i="2"/>
  <c r="I38" i="2"/>
  <c r="F39" i="2"/>
  <c r="H39" i="2"/>
  <c r="I39" i="2"/>
  <c r="F40" i="2"/>
  <c r="H40" i="2"/>
  <c r="I40" i="2"/>
  <c r="F41" i="2"/>
  <c r="H41" i="2"/>
  <c r="I41" i="2"/>
  <c r="F42" i="2"/>
  <c r="H42" i="2"/>
  <c r="I42" i="2"/>
  <c r="F43" i="2"/>
  <c r="H43" i="2"/>
  <c r="I43" i="2"/>
  <c r="F44" i="2"/>
  <c r="H44" i="2"/>
  <c r="I44" i="2"/>
  <c r="F45" i="2"/>
  <c r="H45" i="2"/>
  <c r="I45" i="2"/>
  <c r="F46" i="2"/>
  <c r="H46" i="2"/>
  <c r="I46" i="2"/>
  <c r="F47" i="2"/>
  <c r="H47" i="2"/>
  <c r="I47" i="2"/>
  <c r="F48" i="2"/>
  <c r="H48" i="2"/>
  <c r="I48" i="2"/>
  <c r="F49" i="2"/>
  <c r="H49" i="2"/>
  <c r="I49" i="2"/>
  <c r="F50" i="2"/>
  <c r="H50" i="2"/>
  <c r="I50" i="2"/>
  <c r="F51" i="2"/>
  <c r="H51" i="2"/>
  <c r="I51" i="2"/>
  <c r="F52" i="2"/>
  <c r="H52" i="2"/>
  <c r="I52" i="2"/>
  <c r="F53" i="2"/>
  <c r="H53" i="2"/>
  <c r="I53" i="2"/>
  <c r="F54" i="2"/>
  <c r="H54" i="2"/>
  <c r="I54" i="2"/>
  <c r="F55" i="2"/>
  <c r="H55" i="2"/>
  <c r="I55" i="2"/>
  <c r="F56" i="2"/>
  <c r="H56" i="2"/>
  <c r="I56" i="2"/>
  <c r="F57" i="2"/>
  <c r="H57" i="2"/>
  <c r="I57" i="2"/>
  <c r="F58" i="2"/>
  <c r="H58" i="2"/>
  <c r="I58" i="2"/>
  <c r="F59" i="2"/>
  <c r="H59" i="2"/>
  <c r="I59" i="2"/>
  <c r="F60" i="2"/>
  <c r="H60" i="2"/>
  <c r="I60" i="2"/>
  <c r="F61" i="2"/>
  <c r="H61" i="2"/>
  <c r="I61" i="2"/>
  <c r="F62" i="2"/>
  <c r="H62" i="2"/>
  <c r="I62" i="2"/>
  <c r="F63" i="2"/>
  <c r="H63" i="2"/>
  <c r="I63" i="2"/>
  <c r="F64" i="2"/>
  <c r="H64" i="2"/>
  <c r="I64" i="2"/>
  <c r="F65" i="2"/>
  <c r="H65" i="2"/>
  <c r="I65" i="2"/>
  <c r="F66" i="2"/>
  <c r="H66" i="2"/>
  <c r="I66" i="2"/>
  <c r="F67" i="2"/>
  <c r="H67" i="2"/>
  <c r="I67" i="2"/>
  <c r="F68" i="2"/>
  <c r="H68" i="2"/>
  <c r="I68" i="2"/>
  <c r="F69" i="2"/>
  <c r="H69" i="2"/>
  <c r="I69" i="2"/>
  <c r="F70" i="2"/>
  <c r="H70" i="2"/>
  <c r="I70" i="2"/>
  <c r="F71" i="2"/>
  <c r="H71" i="2"/>
  <c r="I71" i="2"/>
  <c r="F72" i="2"/>
  <c r="H72" i="2"/>
  <c r="I72" i="2"/>
  <c r="F73" i="2"/>
  <c r="H73" i="2"/>
  <c r="I73" i="2"/>
  <c r="F74" i="2"/>
  <c r="H74" i="2"/>
  <c r="I74" i="2"/>
  <c r="F75" i="2"/>
  <c r="H75" i="2"/>
  <c r="I75" i="2"/>
  <c r="F76" i="2"/>
  <c r="H76" i="2"/>
  <c r="I76" i="2"/>
  <c r="F77" i="2"/>
  <c r="H77" i="2"/>
  <c r="I77" i="2"/>
  <c r="F78" i="2"/>
  <c r="H78" i="2"/>
  <c r="I78" i="2"/>
  <c r="F79" i="2"/>
  <c r="H79" i="2"/>
  <c r="I79" i="2"/>
  <c r="F80" i="2"/>
  <c r="H80" i="2"/>
  <c r="I80" i="2"/>
  <c r="F81" i="2"/>
  <c r="H81" i="2"/>
  <c r="I81" i="2"/>
  <c r="F82" i="2"/>
  <c r="H82" i="2"/>
  <c r="I82" i="2"/>
  <c r="F83" i="2"/>
  <c r="H83" i="2"/>
  <c r="I83" i="2"/>
  <c r="I2" i="2"/>
  <c r="H2" i="2"/>
  <c r="F2" i="2"/>
</calcChain>
</file>

<file path=xl/sharedStrings.xml><?xml version="1.0" encoding="utf-8"?>
<sst xmlns="http://schemas.openxmlformats.org/spreadsheetml/2006/main" count="513" uniqueCount="120">
  <si>
    <t>occupation</t>
    <phoneticPr fontId="1" type="noConversion"/>
  </si>
  <si>
    <t>education</t>
  </si>
  <si>
    <t>women</t>
  </si>
  <si>
    <t>prestige</t>
    <phoneticPr fontId="1" type="noConversion"/>
  </si>
  <si>
    <t>census</t>
  </si>
  <si>
    <t>income</t>
  </si>
  <si>
    <t>type</t>
  </si>
  <si>
    <t>gov.administrators</t>
  </si>
  <si>
    <t>prof</t>
  </si>
  <si>
    <t>general.managers</t>
  </si>
  <si>
    <t>university.teachers</t>
  </si>
  <si>
    <t>secondary.school.teachers</t>
  </si>
  <si>
    <t>physicians</t>
  </si>
  <si>
    <t>veterinarians</t>
  </si>
  <si>
    <t>osteopaths.chiropractors</t>
  </si>
  <si>
    <t>nurses</t>
  </si>
  <si>
    <t>nursing.aides</t>
  </si>
  <si>
    <t>bc</t>
  </si>
  <si>
    <t>physio.therapsts</t>
  </si>
  <si>
    <t>pharmacists</t>
  </si>
  <si>
    <t>medical.technicians</t>
  </si>
  <si>
    <t>wc</t>
  </si>
  <si>
    <t>commercial.artists</t>
  </si>
  <si>
    <t>radio.tv.announcers</t>
  </si>
  <si>
    <t>athletes</t>
  </si>
  <si>
    <t>secretaries</t>
  </si>
  <si>
    <t>typists</t>
  </si>
  <si>
    <t>bookkeepers</t>
  </si>
  <si>
    <t>tellers.cashiers</t>
  </si>
  <si>
    <t>computer.operators</t>
  </si>
  <si>
    <t>shipping.clerks</t>
  </si>
  <si>
    <t>file.clerks</t>
  </si>
  <si>
    <t>receptionsts</t>
  </si>
  <si>
    <t>mail.carriers</t>
  </si>
  <si>
    <t>postal.clerks</t>
  </si>
  <si>
    <t>telephone.operators</t>
  </si>
  <si>
    <t>collectors</t>
  </si>
  <si>
    <t>claim.adjustors</t>
  </si>
  <si>
    <t>travel.clerks</t>
  </si>
  <si>
    <t>office.clerks</t>
  </si>
  <si>
    <t>sales.supervisors</t>
  </si>
  <si>
    <t>commercial.travellers</t>
  </si>
  <si>
    <t>sales.clerks</t>
  </si>
  <si>
    <t>newsboys</t>
  </si>
  <si>
    <t>service.station.attendant</t>
  </si>
  <si>
    <t>insurance.agents</t>
  </si>
  <si>
    <t>real.estate.salesmen</t>
  </si>
  <si>
    <t>firefighters</t>
  </si>
  <si>
    <t>policemen</t>
  </si>
  <si>
    <t>cooks</t>
  </si>
  <si>
    <t>bartenders</t>
  </si>
  <si>
    <t>funeral.directors</t>
  </si>
  <si>
    <t>babysitters</t>
  </si>
  <si>
    <t>launderers</t>
  </si>
  <si>
    <t>janitors</t>
  </si>
  <si>
    <t>elevator.operators</t>
  </si>
  <si>
    <t>farmers</t>
  </si>
  <si>
    <t>farm.workers</t>
  </si>
  <si>
    <t>rotary.well.drillers</t>
  </si>
  <si>
    <t>bakers</t>
  </si>
  <si>
    <t>slaughterers.1</t>
  </si>
  <si>
    <t>slaughterers.2</t>
  </si>
  <si>
    <t>canners</t>
  </si>
  <si>
    <t>textile.weavers</t>
  </si>
  <si>
    <t>textile.labourers</t>
  </si>
  <si>
    <t>tool.die.makers</t>
  </si>
  <si>
    <t>machinists</t>
  </si>
  <si>
    <t>sheet.metal.workers</t>
  </si>
  <si>
    <t>welders</t>
  </si>
  <si>
    <t>auto.workers</t>
  </si>
  <si>
    <t>aircraft.workers</t>
  </si>
  <si>
    <t>electronic.workers</t>
  </si>
  <si>
    <t>radio.tv.repairmen</t>
  </si>
  <si>
    <t>sewing.mach.operators</t>
  </si>
  <si>
    <t>auto.repairmen</t>
  </si>
  <si>
    <t>aircraft.repairmen</t>
  </si>
  <si>
    <t>railway.sectionmen</t>
  </si>
  <si>
    <t>electrical.linemen</t>
  </si>
  <si>
    <t>electricians</t>
  </si>
  <si>
    <t>construction.foremen</t>
  </si>
  <si>
    <t>carpenters</t>
  </si>
  <si>
    <t>masons</t>
  </si>
  <si>
    <t>house.painters</t>
  </si>
  <si>
    <t>plumbers</t>
  </si>
  <si>
    <t>construction.labourers</t>
  </si>
  <si>
    <t>pilots</t>
  </si>
  <si>
    <t>train.engineers</t>
  </si>
  <si>
    <t>bus.drivers</t>
  </si>
  <si>
    <t>taxi.drivers</t>
  </si>
  <si>
    <t>longshoremen</t>
  </si>
  <si>
    <t>typesetters</t>
  </si>
  <si>
    <t>bookbinders</t>
  </si>
  <si>
    <t>prestige</t>
  </si>
  <si>
    <t>평균</t>
  </si>
  <si>
    <t>표준 오차</t>
  </si>
  <si>
    <t>중앙값</t>
  </si>
  <si>
    <t>최빈값</t>
  </si>
  <si>
    <t>표준 편차</t>
  </si>
  <si>
    <t>분산</t>
  </si>
  <si>
    <t>첨도</t>
  </si>
  <si>
    <t>왜도</t>
  </si>
  <si>
    <t>범위</t>
  </si>
  <si>
    <t>최소값</t>
  </si>
  <si>
    <t>최대값</t>
  </si>
  <si>
    <t>합</t>
  </si>
  <si>
    <t>관측수</t>
  </si>
  <si>
    <t>신뢰 수준(95.0%)</t>
  </si>
  <si>
    <t xml:space="preserve">output range input과 겹쳐지지 않게 셀 하나 지정. 그 셀을 기준으로 값이 펼쳐짐. </t>
    <phoneticPr fontId="1" type="noConversion"/>
  </si>
  <si>
    <t>R Square : 결정계수 -&gt; 회귀식의 설명력을나타냄(0~1사이 범위, 1에 가까울수록 좋은 회귀식을 찾았다!) : 72.2%의 설명력을 가짐</t>
  </si>
  <si>
    <t>ANOVA(F 검정): 회귀식의 유의성 판단(Significance f - pvalue): 귀무가설 : 회귀식이 선형성을 가지지 않는다(회귀식이 쓸모없다</t>
  </si>
  <si>
    <t xml:space="preserve">                     Pvalue가 9.33E-20로 유의수준 0.05보다 작으므로 귀무가설을 기각하고 대립가설을 채택한다. (즉, 회귀식이 의미가 있다)</t>
  </si>
  <si>
    <t xml:space="preserve">각 독립변수에 대한 해석 -&gt; coefficients(회귀계수) / pvalue가 0.05보다 작냐가 중  (작으면 의미있는 회귀계수) </t>
  </si>
  <si>
    <t xml:space="preserve">                                  귀무가설: 회귀계수가 0이다. / 대립가설은 회귀계수가 0이 아니다.(즉, 의미가 있는 회귀계수다)</t>
  </si>
  <si>
    <t xml:space="preserve">                                   education /census 는 p-value가 0.05보다 커서 귀무가설 기각 못함(의미없는 회귀계수) 그 외 변수는 의미 있음</t>
  </si>
  <si>
    <t>최종 회귀식은?: education / census를 제외하고 다시 회귀를 돌려볼 것 !</t>
  </si>
  <si>
    <t>(현재 결과에서) y (income) = type_label * 2666.685 + cencsus*(-0.16) + prestige * (131) + women (-57) + education *(50) + intercept*2577</t>
  </si>
  <si>
    <t xml:space="preserve">회귀계수는 독립변수가 단위 숫자(1)만큼 증가할 때 종속 변수(y)에 얼마나 영향을 미치는가를 보여줌. </t>
  </si>
  <si>
    <t>prof</t>
    <phoneticPr fontId="1" type="noConversion"/>
  </si>
  <si>
    <t>wc</t>
    <phoneticPr fontId="1" type="noConversion"/>
  </si>
  <si>
    <t>bc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</si>
</sst>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C1B1-1DFD-E344-8641-F75985E88664}">
  <dimension ref="A1:R83"/>
  <sheetViews>
    <sheetView topLeftCell="E1" zoomScale="86" workbookViewId="0">
      <selection activeCell="G1" sqref="G1:G1048576"/>
    </sheetView>
  </sheetViews>
  <sheetFormatPr defaultColWidth="11.07421875" defaultRowHeight="17.5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107</v>
      </c>
    </row>
    <row r="2" spans="1:18" ht="18" thickBot="1" x14ac:dyDescent="0.5">
      <c r="A2" t="s">
        <v>7</v>
      </c>
      <c r="B2">
        <v>13.11</v>
      </c>
      <c r="C2">
        <v>11.16</v>
      </c>
      <c r="D2">
        <v>68.8</v>
      </c>
      <c r="E2">
        <v>1113</v>
      </c>
      <c r="F2">
        <v>12351</v>
      </c>
      <c r="G2" t="s">
        <v>8</v>
      </c>
    </row>
    <row r="3" spans="1:18" x14ac:dyDescent="0.45">
      <c r="A3" t="s">
        <v>9</v>
      </c>
      <c r="B3">
        <v>12.26</v>
      </c>
      <c r="C3">
        <v>4.0199999999999996</v>
      </c>
      <c r="D3">
        <v>69.099999999999994</v>
      </c>
      <c r="E3">
        <v>1130</v>
      </c>
      <c r="F3">
        <v>25879</v>
      </c>
      <c r="G3" t="s">
        <v>8</v>
      </c>
      <c r="I3" s="2" t="s">
        <v>1</v>
      </c>
      <c r="J3" s="2"/>
      <c r="K3" s="2" t="s">
        <v>2</v>
      </c>
      <c r="L3" s="2"/>
      <c r="M3" s="2" t="s">
        <v>92</v>
      </c>
      <c r="N3" s="2"/>
      <c r="O3" s="2" t="s">
        <v>4</v>
      </c>
      <c r="P3" s="2"/>
      <c r="Q3" s="2" t="s">
        <v>5</v>
      </c>
      <c r="R3" s="2"/>
    </row>
    <row r="4" spans="1:18" x14ac:dyDescent="0.45">
      <c r="A4" t="s">
        <v>10</v>
      </c>
      <c r="B4">
        <v>15.97</v>
      </c>
      <c r="C4">
        <v>19.59</v>
      </c>
      <c r="D4">
        <v>84.6</v>
      </c>
      <c r="E4">
        <v>2711</v>
      </c>
      <c r="F4">
        <v>12480</v>
      </c>
      <c r="G4" t="s">
        <v>8</v>
      </c>
    </row>
    <row r="5" spans="1:18" x14ac:dyDescent="0.45">
      <c r="A5" t="s">
        <v>11</v>
      </c>
      <c r="B5">
        <v>15.08</v>
      </c>
      <c r="C5">
        <v>46.8</v>
      </c>
      <c r="D5">
        <v>66.099999999999994</v>
      </c>
      <c r="E5">
        <v>2733</v>
      </c>
      <c r="F5">
        <v>8034</v>
      </c>
      <c r="G5" t="s">
        <v>8</v>
      </c>
      <c r="I5" t="s">
        <v>93</v>
      </c>
      <c r="J5">
        <v>9.9429268292682895</v>
      </c>
      <c r="K5" t="s">
        <v>93</v>
      </c>
      <c r="L5">
        <v>30.116829268292687</v>
      </c>
      <c r="M5" t="s">
        <v>93</v>
      </c>
      <c r="N5">
        <v>42.230487804878052</v>
      </c>
      <c r="O5" t="s">
        <v>93</v>
      </c>
      <c r="P5">
        <v>6156.8170731707314</v>
      </c>
      <c r="Q5" t="s">
        <v>93</v>
      </c>
      <c r="R5">
        <v>6275.1463414634145</v>
      </c>
    </row>
    <row r="6" spans="1:18" x14ac:dyDescent="0.45">
      <c r="A6" t="s">
        <v>12</v>
      </c>
      <c r="B6">
        <v>15.96</v>
      </c>
      <c r="C6">
        <v>10.56</v>
      </c>
      <c r="D6">
        <v>87.2</v>
      </c>
      <c r="E6">
        <v>3111</v>
      </c>
      <c r="F6">
        <v>25308</v>
      </c>
      <c r="G6" t="s">
        <v>8</v>
      </c>
      <c r="I6" t="s">
        <v>94</v>
      </c>
      <c r="J6">
        <v>0.26103334411351037</v>
      </c>
      <c r="K6" t="s">
        <v>94</v>
      </c>
      <c r="L6">
        <v>3.6412984631837033</v>
      </c>
      <c r="M6" t="s">
        <v>94</v>
      </c>
      <c r="N6">
        <v>1.7088947468230198</v>
      </c>
      <c r="O6" t="s">
        <v>94</v>
      </c>
      <c r="P6">
        <v>262.25458732333271</v>
      </c>
      <c r="Q6" t="s">
        <v>94</v>
      </c>
      <c r="R6">
        <v>474.5688564949649</v>
      </c>
    </row>
    <row r="7" spans="1:18" x14ac:dyDescent="0.45">
      <c r="A7" t="s">
        <v>13</v>
      </c>
      <c r="B7">
        <v>15.94</v>
      </c>
      <c r="C7">
        <v>4.32</v>
      </c>
      <c r="D7">
        <v>66.7</v>
      </c>
      <c r="E7">
        <v>3115</v>
      </c>
      <c r="F7">
        <v>14558</v>
      </c>
      <c r="G7" t="s">
        <v>8</v>
      </c>
      <c r="I7" t="s">
        <v>95</v>
      </c>
      <c r="J7">
        <v>9.73</v>
      </c>
      <c r="K7" t="s">
        <v>95</v>
      </c>
      <c r="L7">
        <v>13.6</v>
      </c>
      <c r="M7" t="s">
        <v>95</v>
      </c>
      <c r="N7">
        <v>39.549999999999997</v>
      </c>
      <c r="O7" t="s">
        <v>95</v>
      </c>
      <c r="P7">
        <v>6132</v>
      </c>
      <c r="Q7" t="s">
        <v>95</v>
      </c>
      <c r="R7">
        <v>5157</v>
      </c>
    </row>
    <row r="8" spans="1:18" x14ac:dyDescent="0.45">
      <c r="A8" t="s">
        <v>14</v>
      </c>
      <c r="B8">
        <v>14.71</v>
      </c>
      <c r="C8">
        <v>6.91</v>
      </c>
      <c r="D8">
        <v>68.400000000000006</v>
      </c>
      <c r="E8">
        <v>3117</v>
      </c>
      <c r="F8">
        <v>17498</v>
      </c>
      <c r="G8" t="s">
        <v>8</v>
      </c>
      <c r="I8" t="s">
        <v>96</v>
      </c>
      <c r="J8">
        <v>11.09</v>
      </c>
      <c r="K8" t="s">
        <v>96</v>
      </c>
      <c r="L8">
        <v>0</v>
      </c>
      <c r="M8" t="s">
        <v>96</v>
      </c>
      <c r="N8">
        <v>35.9</v>
      </c>
      <c r="O8" t="s">
        <v>96</v>
      </c>
      <c r="P8">
        <v>8215</v>
      </c>
      <c r="Q8" t="s">
        <v>96</v>
      </c>
      <c r="R8">
        <v>3485</v>
      </c>
    </row>
    <row r="9" spans="1:18" x14ac:dyDescent="0.45">
      <c r="A9" t="s">
        <v>15</v>
      </c>
      <c r="B9">
        <v>12.46</v>
      </c>
      <c r="C9">
        <v>96.12</v>
      </c>
      <c r="D9">
        <v>64.7</v>
      </c>
      <c r="E9">
        <v>3131</v>
      </c>
      <c r="F9">
        <v>4614</v>
      </c>
      <c r="G9" t="s">
        <v>8</v>
      </c>
      <c r="I9" t="s">
        <v>97</v>
      </c>
      <c r="J9">
        <v>2.363757464843792</v>
      </c>
      <c r="K9" t="s">
        <v>97</v>
      </c>
      <c r="L9">
        <v>32.973359987036325</v>
      </c>
      <c r="M9" t="s">
        <v>97</v>
      </c>
      <c r="N9">
        <v>15.474700093022278</v>
      </c>
      <c r="O9" t="s">
        <v>97</v>
      </c>
      <c r="P9">
        <v>2374.8162924560684</v>
      </c>
      <c r="Q9" t="s">
        <v>97</v>
      </c>
      <c r="R9">
        <v>4297.4037701273737</v>
      </c>
    </row>
    <row r="10" spans="1:18" x14ac:dyDescent="0.45">
      <c r="A10" t="s">
        <v>16</v>
      </c>
      <c r="B10">
        <v>9.4499999999999993</v>
      </c>
      <c r="C10">
        <v>76.14</v>
      </c>
      <c r="D10">
        <v>34.9</v>
      </c>
      <c r="E10">
        <v>3135</v>
      </c>
      <c r="F10">
        <v>3485</v>
      </c>
      <c r="G10" t="s">
        <v>17</v>
      </c>
      <c r="I10" t="s">
        <v>98</v>
      </c>
      <c r="J10">
        <v>5.5873493526047513</v>
      </c>
      <c r="K10" t="s">
        <v>98</v>
      </c>
      <c r="L10">
        <v>1087.2424688346882</v>
      </c>
      <c r="M10" t="s">
        <v>98</v>
      </c>
      <c r="N10">
        <v>239.46634296898372</v>
      </c>
      <c r="O10" t="s">
        <v>98</v>
      </c>
      <c r="P10">
        <v>5639752.4229147872</v>
      </c>
      <c r="Q10" t="s">
        <v>98</v>
      </c>
      <c r="R10">
        <v>18467679.163504966</v>
      </c>
    </row>
    <row r="11" spans="1:18" x14ac:dyDescent="0.45">
      <c r="A11" t="s">
        <v>18</v>
      </c>
      <c r="B11">
        <v>13.62</v>
      </c>
      <c r="C11">
        <v>82.66</v>
      </c>
      <c r="D11">
        <v>72.099999999999994</v>
      </c>
      <c r="E11">
        <v>3137</v>
      </c>
      <c r="F11">
        <v>5092</v>
      </c>
      <c r="G11" t="s">
        <v>8</v>
      </c>
      <c r="I11" t="s">
        <v>99</v>
      </c>
      <c r="J11">
        <v>0.19167867047295539</v>
      </c>
      <c r="K11" t="s">
        <v>99</v>
      </c>
      <c r="L11">
        <v>-0.76490274906297495</v>
      </c>
      <c r="M11" t="s">
        <v>99</v>
      </c>
      <c r="N11">
        <v>0.30818515553739445</v>
      </c>
      <c r="O11" t="s">
        <v>99</v>
      </c>
      <c r="P11">
        <v>-1.3607247925604391</v>
      </c>
      <c r="Q11" t="s">
        <v>99</v>
      </c>
      <c r="R11">
        <v>9.0203547064717728</v>
      </c>
    </row>
    <row r="12" spans="1:18" x14ac:dyDescent="0.45">
      <c r="A12" t="s">
        <v>19</v>
      </c>
      <c r="B12">
        <v>15.21</v>
      </c>
      <c r="C12">
        <v>24.71</v>
      </c>
      <c r="D12">
        <v>69.3</v>
      </c>
      <c r="E12">
        <v>3151</v>
      </c>
      <c r="F12">
        <v>10432</v>
      </c>
      <c r="G12" t="s">
        <v>8</v>
      </c>
      <c r="I12" t="s">
        <v>100</v>
      </c>
      <c r="J12">
        <v>0.76301992413891973</v>
      </c>
      <c r="K12" t="s">
        <v>100</v>
      </c>
      <c r="L12">
        <v>0.86658201425109305</v>
      </c>
      <c r="M12" t="s">
        <v>100</v>
      </c>
      <c r="N12">
        <v>0.74076837577765131</v>
      </c>
      <c r="O12" t="s">
        <v>100</v>
      </c>
      <c r="P12">
        <v>-0.17165372232053808</v>
      </c>
      <c r="Q12" t="s">
        <v>100</v>
      </c>
      <c r="R12">
        <v>2.6065916060227714</v>
      </c>
    </row>
    <row r="13" spans="1:18" x14ac:dyDescent="0.45">
      <c r="A13" t="s">
        <v>20</v>
      </c>
      <c r="B13">
        <v>12.79</v>
      </c>
      <c r="C13">
        <v>76.040000000000006</v>
      </c>
      <c r="D13">
        <v>67.5</v>
      </c>
      <c r="E13">
        <v>3156</v>
      </c>
      <c r="F13">
        <v>5180</v>
      </c>
      <c r="G13" t="s">
        <v>21</v>
      </c>
      <c r="I13" t="s">
        <v>101</v>
      </c>
      <c r="J13">
        <v>9.59</v>
      </c>
      <c r="K13" t="s">
        <v>101</v>
      </c>
      <c r="L13">
        <v>97.51</v>
      </c>
      <c r="M13" t="s">
        <v>101</v>
      </c>
      <c r="N13">
        <v>72.400000000000006</v>
      </c>
      <c r="O13" t="s">
        <v>101</v>
      </c>
      <c r="P13">
        <v>8404</v>
      </c>
      <c r="Q13" t="s">
        <v>101</v>
      </c>
      <c r="R13">
        <v>25268</v>
      </c>
    </row>
    <row r="14" spans="1:18" x14ac:dyDescent="0.45">
      <c r="A14" t="s">
        <v>22</v>
      </c>
      <c r="B14">
        <v>11.09</v>
      </c>
      <c r="C14">
        <v>21.03</v>
      </c>
      <c r="D14">
        <v>57.2</v>
      </c>
      <c r="E14">
        <v>3314</v>
      </c>
      <c r="F14">
        <v>6197</v>
      </c>
      <c r="G14" t="s">
        <v>8</v>
      </c>
      <c r="I14" t="s">
        <v>102</v>
      </c>
      <c r="J14">
        <v>6.38</v>
      </c>
      <c r="K14" t="s">
        <v>102</v>
      </c>
      <c r="L14">
        <v>0</v>
      </c>
      <c r="M14" t="s">
        <v>102</v>
      </c>
      <c r="N14">
        <v>14.8</v>
      </c>
      <c r="O14" t="s">
        <v>102</v>
      </c>
      <c r="P14">
        <v>1113</v>
      </c>
      <c r="Q14" t="s">
        <v>102</v>
      </c>
      <c r="R14">
        <v>611</v>
      </c>
    </row>
    <row r="15" spans="1:18" x14ac:dyDescent="0.45">
      <c r="A15" t="s">
        <v>23</v>
      </c>
      <c r="B15">
        <v>12.71</v>
      </c>
      <c r="C15">
        <v>11.15</v>
      </c>
      <c r="D15">
        <v>57.6</v>
      </c>
      <c r="E15">
        <v>3337</v>
      </c>
      <c r="F15">
        <v>7562</v>
      </c>
      <c r="G15" t="s">
        <v>21</v>
      </c>
      <c r="I15" t="s">
        <v>103</v>
      </c>
      <c r="J15">
        <v>15.97</v>
      </c>
      <c r="K15" t="s">
        <v>103</v>
      </c>
      <c r="L15">
        <v>97.51</v>
      </c>
      <c r="M15" t="s">
        <v>103</v>
      </c>
      <c r="N15">
        <v>87.2</v>
      </c>
      <c r="O15" t="s">
        <v>103</v>
      </c>
      <c r="P15">
        <v>9517</v>
      </c>
      <c r="Q15" t="s">
        <v>103</v>
      </c>
      <c r="R15">
        <v>25879</v>
      </c>
    </row>
    <row r="16" spans="1:18" x14ac:dyDescent="0.45">
      <c r="A16" t="s">
        <v>24</v>
      </c>
      <c r="B16">
        <v>11.44</v>
      </c>
      <c r="C16">
        <v>8.1300000000000008</v>
      </c>
      <c r="D16">
        <v>54.1</v>
      </c>
      <c r="E16">
        <v>3373</v>
      </c>
      <c r="F16">
        <v>8206</v>
      </c>
      <c r="G16" t="s">
        <v>21</v>
      </c>
      <c r="I16" t="s">
        <v>104</v>
      </c>
      <c r="J16">
        <v>815.31999999999971</v>
      </c>
      <c r="K16" t="s">
        <v>104</v>
      </c>
      <c r="L16">
        <v>2469.5800000000004</v>
      </c>
      <c r="M16" t="s">
        <v>104</v>
      </c>
      <c r="N16">
        <v>3462.9000000000005</v>
      </c>
      <c r="O16" t="s">
        <v>104</v>
      </c>
      <c r="P16">
        <v>504859</v>
      </c>
      <c r="Q16" t="s">
        <v>104</v>
      </c>
      <c r="R16">
        <v>514562</v>
      </c>
    </row>
    <row r="17" spans="1:18" x14ac:dyDescent="0.45">
      <c r="A17" t="s">
        <v>25</v>
      </c>
      <c r="B17">
        <v>11.59</v>
      </c>
      <c r="C17">
        <v>97.51</v>
      </c>
      <c r="D17">
        <v>46</v>
      </c>
      <c r="E17">
        <v>4111</v>
      </c>
      <c r="F17">
        <v>4036</v>
      </c>
      <c r="G17" t="s">
        <v>21</v>
      </c>
      <c r="I17" t="s">
        <v>105</v>
      </c>
      <c r="J17">
        <v>82</v>
      </c>
      <c r="K17" t="s">
        <v>105</v>
      </c>
      <c r="L17">
        <v>82</v>
      </c>
      <c r="M17" t="s">
        <v>105</v>
      </c>
      <c r="N17">
        <v>82</v>
      </c>
      <c r="O17" t="s">
        <v>105</v>
      </c>
      <c r="P17">
        <v>82</v>
      </c>
      <c r="Q17" t="s">
        <v>105</v>
      </c>
      <c r="R17">
        <v>82</v>
      </c>
    </row>
    <row r="18" spans="1:18" ht="18" thickBot="1" x14ac:dyDescent="0.5">
      <c r="A18" t="s">
        <v>26</v>
      </c>
      <c r="B18">
        <v>11.49</v>
      </c>
      <c r="C18">
        <v>95.97</v>
      </c>
      <c r="D18">
        <v>41.9</v>
      </c>
      <c r="E18">
        <v>4113</v>
      </c>
      <c r="F18">
        <v>3148</v>
      </c>
      <c r="G18" t="s">
        <v>21</v>
      </c>
      <c r="I18" s="1" t="s">
        <v>106</v>
      </c>
      <c r="J18" s="1">
        <v>0.51937447474887122</v>
      </c>
      <c r="K18" s="1" t="s">
        <v>106</v>
      </c>
      <c r="L18" s="1">
        <v>7.2450417518212564</v>
      </c>
      <c r="M18" s="1" t="s">
        <v>106</v>
      </c>
      <c r="N18" s="1">
        <v>3.4001645059811105</v>
      </c>
      <c r="O18" s="1" t="s">
        <v>106</v>
      </c>
      <c r="P18" s="1">
        <v>521.80436566106937</v>
      </c>
      <c r="Q18" s="1" t="s">
        <v>106</v>
      </c>
      <c r="R18" s="1">
        <v>944.24316330661372</v>
      </c>
    </row>
    <row r="19" spans="1:18" x14ac:dyDescent="0.45">
      <c r="A19" t="s">
        <v>27</v>
      </c>
      <c r="B19">
        <v>11.32</v>
      </c>
      <c r="C19">
        <v>68.239999999999995</v>
      </c>
      <c r="D19">
        <v>49.4</v>
      </c>
      <c r="E19">
        <v>4131</v>
      </c>
      <c r="F19">
        <v>4348</v>
      </c>
      <c r="G19" t="s">
        <v>21</v>
      </c>
    </row>
    <row r="20" spans="1:18" x14ac:dyDescent="0.45">
      <c r="A20" t="s">
        <v>28</v>
      </c>
      <c r="B20">
        <v>10.64</v>
      </c>
      <c r="C20">
        <v>91.76</v>
      </c>
      <c r="D20">
        <v>42.3</v>
      </c>
      <c r="E20">
        <v>4133</v>
      </c>
      <c r="F20">
        <v>2448</v>
      </c>
      <c r="G20" t="s">
        <v>21</v>
      </c>
    </row>
    <row r="21" spans="1:18" x14ac:dyDescent="0.45">
      <c r="A21" t="s">
        <v>29</v>
      </c>
      <c r="B21">
        <v>11.36</v>
      </c>
      <c r="C21">
        <v>75.92</v>
      </c>
      <c r="D21">
        <v>47.7</v>
      </c>
      <c r="E21">
        <v>4143</v>
      </c>
      <c r="F21">
        <v>4330</v>
      </c>
      <c r="G21" t="s">
        <v>21</v>
      </c>
    </row>
    <row r="22" spans="1:18" x14ac:dyDescent="0.45">
      <c r="A22" t="s">
        <v>30</v>
      </c>
      <c r="B22">
        <v>9.17</v>
      </c>
      <c r="C22">
        <v>11.37</v>
      </c>
      <c r="D22">
        <v>30.9</v>
      </c>
      <c r="E22">
        <v>4153</v>
      </c>
      <c r="F22">
        <v>4761</v>
      </c>
      <c r="G22" t="s">
        <v>21</v>
      </c>
    </row>
    <row r="23" spans="1:18" x14ac:dyDescent="0.45">
      <c r="A23" t="s">
        <v>31</v>
      </c>
      <c r="B23">
        <v>12.09</v>
      </c>
      <c r="C23">
        <v>83.19</v>
      </c>
      <c r="D23">
        <v>32.700000000000003</v>
      </c>
      <c r="E23">
        <v>4161</v>
      </c>
      <c r="F23">
        <v>3016</v>
      </c>
      <c r="G23" t="s">
        <v>21</v>
      </c>
    </row>
    <row r="24" spans="1:18" x14ac:dyDescent="0.45">
      <c r="A24" t="s">
        <v>32</v>
      </c>
      <c r="B24">
        <v>11.04</v>
      </c>
      <c r="C24">
        <v>92.86</v>
      </c>
      <c r="D24">
        <v>38.700000000000003</v>
      </c>
      <c r="E24">
        <v>4171</v>
      </c>
      <c r="F24">
        <v>2901</v>
      </c>
      <c r="G24" t="s">
        <v>21</v>
      </c>
    </row>
    <row r="25" spans="1:18" x14ac:dyDescent="0.45">
      <c r="A25" t="s">
        <v>33</v>
      </c>
      <c r="B25">
        <v>9.2200000000000006</v>
      </c>
      <c r="C25">
        <v>7.62</v>
      </c>
      <c r="D25">
        <v>36.1</v>
      </c>
      <c r="E25">
        <v>4172</v>
      </c>
      <c r="F25">
        <v>5511</v>
      </c>
      <c r="G25" t="s">
        <v>21</v>
      </c>
    </row>
    <row r="26" spans="1:18" x14ac:dyDescent="0.45">
      <c r="A26" t="s">
        <v>34</v>
      </c>
      <c r="B26">
        <v>10.07</v>
      </c>
      <c r="C26">
        <v>52.27</v>
      </c>
      <c r="D26">
        <v>37.200000000000003</v>
      </c>
      <c r="E26">
        <v>4173</v>
      </c>
      <c r="F26">
        <v>3739</v>
      </c>
      <c r="G26" t="s">
        <v>21</v>
      </c>
    </row>
    <row r="27" spans="1:18" x14ac:dyDescent="0.45">
      <c r="A27" t="s">
        <v>35</v>
      </c>
      <c r="B27">
        <v>10.51</v>
      </c>
      <c r="C27">
        <v>96.14</v>
      </c>
      <c r="D27">
        <v>38.1</v>
      </c>
      <c r="E27">
        <v>4175</v>
      </c>
      <c r="F27">
        <v>3161</v>
      </c>
      <c r="G27" t="s">
        <v>21</v>
      </c>
    </row>
    <row r="28" spans="1:18" x14ac:dyDescent="0.45">
      <c r="A28" t="s">
        <v>36</v>
      </c>
      <c r="B28">
        <v>11.2</v>
      </c>
      <c r="C28">
        <v>47.06</v>
      </c>
      <c r="D28">
        <v>29.4</v>
      </c>
      <c r="E28">
        <v>4191</v>
      </c>
      <c r="F28">
        <v>4741</v>
      </c>
      <c r="G28" t="s">
        <v>21</v>
      </c>
    </row>
    <row r="29" spans="1:18" x14ac:dyDescent="0.45">
      <c r="A29" t="s">
        <v>37</v>
      </c>
      <c r="B29">
        <v>11.13</v>
      </c>
      <c r="C29">
        <v>56.1</v>
      </c>
      <c r="D29">
        <v>51.1</v>
      </c>
      <c r="E29">
        <v>4192</v>
      </c>
      <c r="F29">
        <v>5052</v>
      </c>
      <c r="G29" t="s">
        <v>21</v>
      </c>
    </row>
    <row r="30" spans="1:18" x14ac:dyDescent="0.45">
      <c r="A30" t="s">
        <v>38</v>
      </c>
      <c r="B30">
        <v>11.43</v>
      </c>
      <c r="C30">
        <v>39.17</v>
      </c>
      <c r="D30">
        <v>35.700000000000003</v>
      </c>
      <c r="E30">
        <v>4193</v>
      </c>
      <c r="F30">
        <v>6259</v>
      </c>
      <c r="G30" t="s">
        <v>21</v>
      </c>
    </row>
    <row r="31" spans="1:18" x14ac:dyDescent="0.45">
      <c r="A31" t="s">
        <v>39</v>
      </c>
      <c r="B31">
        <v>11</v>
      </c>
      <c r="C31">
        <v>63.23</v>
      </c>
      <c r="D31">
        <v>35.6</v>
      </c>
      <c r="E31">
        <v>4197</v>
      </c>
      <c r="F31">
        <v>4075</v>
      </c>
      <c r="G31" t="s">
        <v>21</v>
      </c>
    </row>
    <row r="32" spans="1:18" x14ac:dyDescent="0.45">
      <c r="A32" t="s">
        <v>40</v>
      </c>
      <c r="B32">
        <v>9.84</v>
      </c>
      <c r="C32">
        <v>17.04</v>
      </c>
      <c r="D32">
        <v>41.5</v>
      </c>
      <c r="E32">
        <v>5130</v>
      </c>
      <c r="F32">
        <v>7482</v>
      </c>
      <c r="G32" t="s">
        <v>21</v>
      </c>
    </row>
    <row r="33" spans="1:7" x14ac:dyDescent="0.45">
      <c r="A33" t="s">
        <v>41</v>
      </c>
      <c r="B33">
        <v>11.13</v>
      </c>
      <c r="C33">
        <v>3.16</v>
      </c>
      <c r="D33">
        <v>40.200000000000003</v>
      </c>
      <c r="E33">
        <v>5133</v>
      </c>
      <c r="F33">
        <v>8780</v>
      </c>
      <c r="G33" t="s">
        <v>21</v>
      </c>
    </row>
    <row r="34" spans="1:7" x14ac:dyDescent="0.45">
      <c r="A34" t="s">
        <v>42</v>
      </c>
      <c r="B34">
        <v>10.050000000000001</v>
      </c>
      <c r="C34">
        <v>67.819999999999993</v>
      </c>
      <c r="D34">
        <v>26.5</v>
      </c>
      <c r="E34">
        <v>5137</v>
      </c>
      <c r="F34">
        <v>2594</v>
      </c>
      <c r="G34" t="s">
        <v>21</v>
      </c>
    </row>
    <row r="35" spans="1:7" x14ac:dyDescent="0.45">
      <c r="A35" t="s">
        <v>43</v>
      </c>
      <c r="B35">
        <v>9.6199999999999992</v>
      </c>
      <c r="C35">
        <v>7</v>
      </c>
      <c r="D35">
        <v>14.8</v>
      </c>
      <c r="E35">
        <v>5143</v>
      </c>
      <c r="F35">
        <v>918</v>
      </c>
      <c r="G35" t="s">
        <v>21</v>
      </c>
    </row>
    <row r="36" spans="1:7" x14ac:dyDescent="0.45">
      <c r="A36" t="s">
        <v>44</v>
      </c>
      <c r="B36">
        <v>9.93</v>
      </c>
      <c r="C36">
        <v>3.69</v>
      </c>
      <c r="D36">
        <v>23.3</v>
      </c>
      <c r="E36">
        <v>5145</v>
      </c>
      <c r="F36">
        <v>2370</v>
      </c>
      <c r="G36" t="s">
        <v>17</v>
      </c>
    </row>
    <row r="37" spans="1:7" x14ac:dyDescent="0.45">
      <c r="A37" t="s">
        <v>45</v>
      </c>
      <c r="B37">
        <v>11.6</v>
      </c>
      <c r="C37">
        <v>13.09</v>
      </c>
      <c r="D37">
        <v>47.3</v>
      </c>
      <c r="E37">
        <v>5171</v>
      </c>
      <c r="F37">
        <v>8131</v>
      </c>
      <c r="G37" t="s">
        <v>21</v>
      </c>
    </row>
    <row r="38" spans="1:7" x14ac:dyDescent="0.45">
      <c r="A38" t="s">
        <v>46</v>
      </c>
      <c r="B38">
        <v>11.09</v>
      </c>
      <c r="C38">
        <v>24.44</v>
      </c>
      <c r="D38">
        <v>47.1</v>
      </c>
      <c r="E38">
        <v>5172</v>
      </c>
      <c r="F38">
        <v>6992</v>
      </c>
      <c r="G38" t="s">
        <v>21</v>
      </c>
    </row>
    <row r="39" spans="1:7" x14ac:dyDescent="0.45">
      <c r="A39" t="s">
        <v>47</v>
      </c>
      <c r="B39">
        <v>9.4700000000000006</v>
      </c>
      <c r="C39">
        <v>0</v>
      </c>
      <c r="D39">
        <v>43.5</v>
      </c>
      <c r="E39">
        <v>6111</v>
      </c>
      <c r="F39">
        <v>8895</v>
      </c>
      <c r="G39" t="s">
        <v>17</v>
      </c>
    </row>
    <row r="40" spans="1:7" x14ac:dyDescent="0.45">
      <c r="A40" t="s">
        <v>48</v>
      </c>
      <c r="B40">
        <v>10.93</v>
      </c>
      <c r="C40">
        <v>1.65</v>
      </c>
      <c r="D40">
        <v>51.6</v>
      </c>
      <c r="E40">
        <v>6112</v>
      </c>
      <c r="F40">
        <v>8891</v>
      </c>
      <c r="G40" t="s">
        <v>17</v>
      </c>
    </row>
    <row r="41" spans="1:7" x14ac:dyDescent="0.45">
      <c r="A41" t="s">
        <v>49</v>
      </c>
      <c r="B41">
        <v>7.74</v>
      </c>
      <c r="C41">
        <v>52</v>
      </c>
      <c r="D41">
        <v>29.7</v>
      </c>
      <c r="E41">
        <v>6121</v>
      </c>
      <c r="F41">
        <v>3116</v>
      </c>
      <c r="G41" t="s">
        <v>17</v>
      </c>
    </row>
    <row r="42" spans="1:7" x14ac:dyDescent="0.45">
      <c r="A42" t="s">
        <v>50</v>
      </c>
      <c r="B42">
        <v>8.5</v>
      </c>
      <c r="C42">
        <v>15.51</v>
      </c>
      <c r="D42">
        <v>20.2</v>
      </c>
      <c r="E42">
        <v>6123</v>
      </c>
      <c r="F42">
        <v>3930</v>
      </c>
      <c r="G42" t="s">
        <v>17</v>
      </c>
    </row>
    <row r="43" spans="1:7" x14ac:dyDescent="0.45">
      <c r="A43" t="s">
        <v>51</v>
      </c>
      <c r="B43">
        <v>10.57</v>
      </c>
      <c r="C43">
        <v>6.01</v>
      </c>
      <c r="D43">
        <v>54.9</v>
      </c>
      <c r="E43">
        <v>6141</v>
      </c>
      <c r="F43">
        <v>7869</v>
      </c>
      <c r="G43" t="s">
        <v>17</v>
      </c>
    </row>
    <row r="44" spans="1:7" x14ac:dyDescent="0.45">
      <c r="A44" t="s">
        <v>52</v>
      </c>
      <c r="B44">
        <v>9.4600000000000009</v>
      </c>
      <c r="C44">
        <v>96.53</v>
      </c>
      <c r="D44">
        <v>25.9</v>
      </c>
      <c r="E44">
        <v>6147</v>
      </c>
      <c r="F44">
        <v>611</v>
      </c>
      <c r="G44" t="s">
        <v>17</v>
      </c>
    </row>
    <row r="45" spans="1:7" x14ac:dyDescent="0.45">
      <c r="A45" t="s">
        <v>53</v>
      </c>
      <c r="B45">
        <v>7.33</v>
      </c>
      <c r="C45">
        <v>69.31</v>
      </c>
      <c r="D45">
        <v>20.8</v>
      </c>
      <c r="E45">
        <v>6162</v>
      </c>
      <c r="F45">
        <v>3000</v>
      </c>
      <c r="G45" t="s">
        <v>17</v>
      </c>
    </row>
    <row r="46" spans="1:7" x14ac:dyDescent="0.45">
      <c r="A46" t="s">
        <v>54</v>
      </c>
      <c r="B46">
        <v>7.11</v>
      </c>
      <c r="C46">
        <v>33.57</v>
      </c>
      <c r="D46">
        <v>17.3</v>
      </c>
      <c r="E46">
        <v>6191</v>
      </c>
      <c r="F46">
        <v>3472</v>
      </c>
      <c r="G46" t="s">
        <v>17</v>
      </c>
    </row>
    <row r="47" spans="1:7" x14ac:dyDescent="0.45">
      <c r="A47" t="s">
        <v>55</v>
      </c>
      <c r="B47">
        <v>7.58</v>
      </c>
      <c r="C47">
        <v>30.08</v>
      </c>
      <c r="D47">
        <v>20.100000000000001</v>
      </c>
      <c r="E47">
        <v>6193</v>
      </c>
      <c r="F47">
        <v>3582</v>
      </c>
      <c r="G47" t="s">
        <v>17</v>
      </c>
    </row>
    <row r="48" spans="1:7" x14ac:dyDescent="0.45">
      <c r="A48" t="s">
        <v>56</v>
      </c>
      <c r="B48">
        <v>6.84</v>
      </c>
      <c r="C48">
        <v>3.6</v>
      </c>
      <c r="D48">
        <v>44.1</v>
      </c>
      <c r="E48">
        <v>7112</v>
      </c>
      <c r="F48">
        <v>3643</v>
      </c>
      <c r="G48" t="s">
        <v>17</v>
      </c>
    </row>
    <row r="49" spans="1:7" x14ac:dyDescent="0.45">
      <c r="A49" t="s">
        <v>57</v>
      </c>
      <c r="B49">
        <v>8.6</v>
      </c>
      <c r="C49">
        <v>27.75</v>
      </c>
      <c r="D49">
        <v>21.5</v>
      </c>
      <c r="E49">
        <v>7182</v>
      </c>
      <c r="F49">
        <v>1656</v>
      </c>
      <c r="G49" t="s">
        <v>17</v>
      </c>
    </row>
    <row r="50" spans="1:7" x14ac:dyDescent="0.45">
      <c r="A50" t="s">
        <v>58</v>
      </c>
      <c r="B50">
        <v>8.8800000000000008</v>
      </c>
      <c r="C50">
        <v>0</v>
      </c>
      <c r="D50">
        <v>35.299999999999997</v>
      </c>
      <c r="E50">
        <v>7711</v>
      </c>
      <c r="F50">
        <v>6860</v>
      </c>
      <c r="G50" t="s">
        <v>17</v>
      </c>
    </row>
    <row r="51" spans="1:7" x14ac:dyDescent="0.45">
      <c r="A51" t="s">
        <v>59</v>
      </c>
      <c r="B51">
        <v>7.54</v>
      </c>
      <c r="C51">
        <v>33.299999999999997</v>
      </c>
      <c r="D51">
        <v>38.9</v>
      </c>
      <c r="E51">
        <v>8213</v>
      </c>
      <c r="F51">
        <v>4199</v>
      </c>
      <c r="G51" t="s">
        <v>17</v>
      </c>
    </row>
    <row r="52" spans="1:7" x14ac:dyDescent="0.45">
      <c r="A52" t="s">
        <v>60</v>
      </c>
      <c r="B52">
        <v>7.64</v>
      </c>
      <c r="C52">
        <v>17.260000000000002</v>
      </c>
      <c r="D52">
        <v>25.2</v>
      </c>
      <c r="E52">
        <v>8215</v>
      </c>
      <c r="F52">
        <v>5134</v>
      </c>
      <c r="G52" t="s">
        <v>17</v>
      </c>
    </row>
    <row r="53" spans="1:7" x14ac:dyDescent="0.45">
      <c r="A53" t="s">
        <v>61</v>
      </c>
      <c r="B53">
        <v>7.64</v>
      </c>
      <c r="C53">
        <v>17.260000000000002</v>
      </c>
      <c r="D53">
        <v>34.799999999999997</v>
      </c>
      <c r="E53">
        <v>8215</v>
      </c>
      <c r="F53">
        <v>5134</v>
      </c>
      <c r="G53" t="s">
        <v>17</v>
      </c>
    </row>
    <row r="54" spans="1:7" x14ac:dyDescent="0.45">
      <c r="A54" t="s">
        <v>62</v>
      </c>
      <c r="B54">
        <v>7.42</v>
      </c>
      <c r="C54">
        <v>72.239999999999995</v>
      </c>
      <c r="D54">
        <v>23.2</v>
      </c>
      <c r="E54">
        <v>8221</v>
      </c>
      <c r="F54">
        <v>1890</v>
      </c>
      <c r="G54" t="s">
        <v>17</v>
      </c>
    </row>
    <row r="55" spans="1:7" x14ac:dyDescent="0.45">
      <c r="A55" t="s">
        <v>63</v>
      </c>
      <c r="B55">
        <v>6.69</v>
      </c>
      <c r="C55">
        <v>31.36</v>
      </c>
      <c r="D55">
        <v>33.299999999999997</v>
      </c>
      <c r="E55">
        <v>8267</v>
      </c>
      <c r="F55">
        <v>4443</v>
      </c>
      <c r="G55" t="s">
        <v>17</v>
      </c>
    </row>
    <row r="56" spans="1:7" x14ac:dyDescent="0.45">
      <c r="A56" t="s">
        <v>64</v>
      </c>
      <c r="B56">
        <v>6.74</v>
      </c>
      <c r="C56">
        <v>39.479999999999997</v>
      </c>
      <c r="D56">
        <v>28.8</v>
      </c>
      <c r="E56">
        <v>8278</v>
      </c>
      <c r="F56">
        <v>3485</v>
      </c>
      <c r="G56" t="s">
        <v>17</v>
      </c>
    </row>
    <row r="57" spans="1:7" x14ac:dyDescent="0.45">
      <c r="A57" t="s">
        <v>65</v>
      </c>
      <c r="B57">
        <v>10.09</v>
      </c>
      <c r="C57">
        <v>1.5</v>
      </c>
      <c r="D57">
        <v>42.5</v>
      </c>
      <c r="E57">
        <v>8311</v>
      </c>
      <c r="F57">
        <v>8043</v>
      </c>
      <c r="G57" t="s">
        <v>17</v>
      </c>
    </row>
    <row r="58" spans="1:7" x14ac:dyDescent="0.45">
      <c r="A58" t="s">
        <v>66</v>
      </c>
      <c r="B58">
        <v>8.81</v>
      </c>
      <c r="C58">
        <v>4.28</v>
      </c>
      <c r="D58">
        <v>44.2</v>
      </c>
      <c r="E58">
        <v>8313</v>
      </c>
      <c r="F58">
        <v>6686</v>
      </c>
      <c r="G58" t="s">
        <v>17</v>
      </c>
    </row>
    <row r="59" spans="1:7" x14ac:dyDescent="0.45">
      <c r="A59" t="s">
        <v>67</v>
      </c>
      <c r="B59">
        <v>8.4</v>
      </c>
      <c r="C59">
        <v>2.2999999999999998</v>
      </c>
      <c r="D59">
        <v>35.9</v>
      </c>
      <c r="E59">
        <v>8333</v>
      </c>
      <c r="F59">
        <v>6565</v>
      </c>
      <c r="G59" t="s">
        <v>17</v>
      </c>
    </row>
    <row r="60" spans="1:7" x14ac:dyDescent="0.45">
      <c r="A60" t="s">
        <v>68</v>
      </c>
      <c r="B60">
        <v>7.92</v>
      </c>
      <c r="C60">
        <v>5.17</v>
      </c>
      <c r="D60">
        <v>41.8</v>
      </c>
      <c r="E60">
        <v>8335</v>
      </c>
      <c r="F60">
        <v>6477</v>
      </c>
      <c r="G60" t="s">
        <v>17</v>
      </c>
    </row>
    <row r="61" spans="1:7" x14ac:dyDescent="0.45">
      <c r="A61" t="s">
        <v>69</v>
      </c>
      <c r="B61">
        <v>8.43</v>
      </c>
      <c r="C61">
        <v>13.62</v>
      </c>
      <c r="D61">
        <v>35.9</v>
      </c>
      <c r="E61">
        <v>8513</v>
      </c>
      <c r="F61">
        <v>5811</v>
      </c>
      <c r="G61" t="s">
        <v>17</v>
      </c>
    </row>
    <row r="62" spans="1:7" x14ac:dyDescent="0.45">
      <c r="A62" t="s">
        <v>70</v>
      </c>
      <c r="B62">
        <v>8.7799999999999994</v>
      </c>
      <c r="C62">
        <v>5.78</v>
      </c>
      <c r="D62">
        <v>43.7</v>
      </c>
      <c r="E62">
        <v>8515</v>
      </c>
      <c r="F62">
        <v>6573</v>
      </c>
      <c r="G62" t="s">
        <v>17</v>
      </c>
    </row>
    <row r="63" spans="1:7" x14ac:dyDescent="0.45">
      <c r="A63" t="s">
        <v>71</v>
      </c>
      <c r="B63">
        <v>8.76</v>
      </c>
      <c r="C63">
        <v>74.540000000000006</v>
      </c>
      <c r="D63">
        <v>50.8</v>
      </c>
      <c r="E63">
        <v>8534</v>
      </c>
      <c r="F63">
        <v>3942</v>
      </c>
      <c r="G63" t="s">
        <v>17</v>
      </c>
    </row>
    <row r="64" spans="1:7" x14ac:dyDescent="0.45">
      <c r="A64" t="s">
        <v>72</v>
      </c>
      <c r="B64">
        <v>10.29</v>
      </c>
      <c r="C64">
        <v>2.92</v>
      </c>
      <c r="D64">
        <v>37.200000000000003</v>
      </c>
      <c r="E64">
        <v>8537</v>
      </c>
      <c r="F64">
        <v>5449</v>
      </c>
      <c r="G64" t="s">
        <v>17</v>
      </c>
    </row>
    <row r="65" spans="1:7" x14ac:dyDescent="0.45">
      <c r="A65" t="s">
        <v>73</v>
      </c>
      <c r="B65">
        <v>6.38</v>
      </c>
      <c r="C65">
        <v>90.67</v>
      </c>
      <c r="D65">
        <v>28.2</v>
      </c>
      <c r="E65">
        <v>8563</v>
      </c>
      <c r="F65">
        <v>2847</v>
      </c>
      <c r="G65" t="s">
        <v>17</v>
      </c>
    </row>
    <row r="66" spans="1:7" x14ac:dyDescent="0.45">
      <c r="A66" t="s">
        <v>74</v>
      </c>
      <c r="B66">
        <v>8.1</v>
      </c>
      <c r="C66">
        <v>0.81</v>
      </c>
      <c r="D66">
        <v>38.1</v>
      </c>
      <c r="E66">
        <v>8581</v>
      </c>
      <c r="F66">
        <v>5795</v>
      </c>
      <c r="G66" t="s">
        <v>17</v>
      </c>
    </row>
    <row r="67" spans="1:7" x14ac:dyDescent="0.45">
      <c r="A67" t="s">
        <v>75</v>
      </c>
      <c r="B67">
        <v>10.1</v>
      </c>
      <c r="C67">
        <v>0.78</v>
      </c>
      <c r="D67">
        <v>50.3</v>
      </c>
      <c r="E67">
        <v>8582</v>
      </c>
      <c r="F67">
        <v>7716</v>
      </c>
      <c r="G67" t="s">
        <v>17</v>
      </c>
    </row>
    <row r="68" spans="1:7" x14ac:dyDescent="0.45">
      <c r="A68" t="s">
        <v>76</v>
      </c>
      <c r="B68">
        <v>6.67</v>
      </c>
      <c r="C68">
        <v>0</v>
      </c>
      <c r="D68">
        <v>27.3</v>
      </c>
      <c r="E68">
        <v>8715</v>
      </c>
      <c r="F68">
        <v>4696</v>
      </c>
      <c r="G68" t="s">
        <v>17</v>
      </c>
    </row>
    <row r="69" spans="1:7" x14ac:dyDescent="0.45">
      <c r="A69" t="s">
        <v>77</v>
      </c>
      <c r="B69">
        <v>9.0500000000000007</v>
      </c>
      <c r="C69">
        <v>1.34</v>
      </c>
      <c r="D69">
        <v>40.9</v>
      </c>
      <c r="E69">
        <v>8731</v>
      </c>
      <c r="F69">
        <v>8316</v>
      </c>
      <c r="G69" t="s">
        <v>17</v>
      </c>
    </row>
    <row r="70" spans="1:7" x14ac:dyDescent="0.45">
      <c r="A70" t="s">
        <v>78</v>
      </c>
      <c r="B70">
        <v>9.93</v>
      </c>
      <c r="C70">
        <v>0.99</v>
      </c>
      <c r="D70">
        <v>50.2</v>
      </c>
      <c r="E70">
        <v>8733</v>
      </c>
      <c r="F70">
        <v>7147</v>
      </c>
      <c r="G70" t="s">
        <v>17</v>
      </c>
    </row>
    <row r="71" spans="1:7" x14ac:dyDescent="0.45">
      <c r="A71" t="s">
        <v>79</v>
      </c>
      <c r="B71">
        <v>8.24</v>
      </c>
      <c r="C71">
        <v>0.65</v>
      </c>
      <c r="D71">
        <v>51.1</v>
      </c>
      <c r="E71">
        <v>8780</v>
      </c>
      <c r="F71">
        <v>8880</v>
      </c>
      <c r="G71" t="s">
        <v>17</v>
      </c>
    </row>
    <row r="72" spans="1:7" x14ac:dyDescent="0.45">
      <c r="A72" t="s">
        <v>80</v>
      </c>
      <c r="B72">
        <v>6.92</v>
      </c>
      <c r="C72">
        <v>0.56000000000000005</v>
      </c>
      <c r="D72">
        <v>38.9</v>
      </c>
      <c r="E72">
        <v>8781</v>
      </c>
      <c r="F72">
        <v>5299</v>
      </c>
      <c r="G72" t="s">
        <v>17</v>
      </c>
    </row>
    <row r="73" spans="1:7" x14ac:dyDescent="0.45">
      <c r="A73" t="s">
        <v>81</v>
      </c>
      <c r="B73">
        <v>6.6</v>
      </c>
      <c r="C73">
        <v>0.52</v>
      </c>
      <c r="D73">
        <v>36.200000000000003</v>
      </c>
      <c r="E73">
        <v>8782</v>
      </c>
      <c r="F73">
        <v>5959</v>
      </c>
      <c r="G73" t="s">
        <v>17</v>
      </c>
    </row>
    <row r="74" spans="1:7" x14ac:dyDescent="0.45">
      <c r="A74" t="s">
        <v>82</v>
      </c>
      <c r="B74">
        <v>7.81</v>
      </c>
      <c r="C74">
        <v>2.46</v>
      </c>
      <c r="D74">
        <v>29.9</v>
      </c>
      <c r="E74">
        <v>8785</v>
      </c>
      <c r="F74">
        <v>4549</v>
      </c>
      <c r="G74" t="s">
        <v>17</v>
      </c>
    </row>
    <row r="75" spans="1:7" x14ac:dyDescent="0.45">
      <c r="A75" t="s">
        <v>83</v>
      </c>
      <c r="B75">
        <v>8.33</v>
      </c>
      <c r="C75">
        <v>0.61</v>
      </c>
      <c r="D75">
        <v>42.9</v>
      </c>
      <c r="E75">
        <v>8791</v>
      </c>
      <c r="F75">
        <v>6928</v>
      </c>
      <c r="G75" t="s">
        <v>17</v>
      </c>
    </row>
    <row r="76" spans="1:7" x14ac:dyDescent="0.45">
      <c r="A76" t="s">
        <v>84</v>
      </c>
      <c r="B76">
        <v>7.52</v>
      </c>
      <c r="C76">
        <v>1.0900000000000001</v>
      </c>
      <c r="D76">
        <v>26.5</v>
      </c>
      <c r="E76">
        <v>8798</v>
      </c>
      <c r="F76">
        <v>3910</v>
      </c>
      <c r="G76" t="s">
        <v>17</v>
      </c>
    </row>
    <row r="77" spans="1:7" x14ac:dyDescent="0.45">
      <c r="A77" t="s">
        <v>85</v>
      </c>
      <c r="B77">
        <v>12.27</v>
      </c>
      <c r="C77">
        <v>0.57999999999999996</v>
      </c>
      <c r="D77">
        <v>66.099999999999994</v>
      </c>
      <c r="E77">
        <v>9111</v>
      </c>
      <c r="F77">
        <v>14032</v>
      </c>
      <c r="G77" t="s">
        <v>8</v>
      </c>
    </row>
    <row r="78" spans="1:7" x14ac:dyDescent="0.45">
      <c r="A78" t="s">
        <v>86</v>
      </c>
      <c r="B78">
        <v>8.49</v>
      </c>
      <c r="C78">
        <v>0</v>
      </c>
      <c r="D78">
        <v>48.9</v>
      </c>
      <c r="E78">
        <v>9131</v>
      </c>
      <c r="F78">
        <v>8845</v>
      </c>
      <c r="G78" t="s">
        <v>17</v>
      </c>
    </row>
    <row r="79" spans="1:7" x14ac:dyDescent="0.45">
      <c r="A79" t="s">
        <v>87</v>
      </c>
      <c r="B79">
        <v>7.58</v>
      </c>
      <c r="C79">
        <v>9.4700000000000006</v>
      </c>
      <c r="D79">
        <v>35.9</v>
      </c>
      <c r="E79">
        <v>9171</v>
      </c>
      <c r="F79">
        <v>5562</v>
      </c>
      <c r="G79" t="s">
        <v>17</v>
      </c>
    </row>
    <row r="80" spans="1:7" x14ac:dyDescent="0.45">
      <c r="A80" t="s">
        <v>88</v>
      </c>
      <c r="B80">
        <v>7.93</v>
      </c>
      <c r="C80">
        <v>3.59</v>
      </c>
      <c r="D80">
        <v>25.1</v>
      </c>
      <c r="E80">
        <v>9173</v>
      </c>
      <c r="F80">
        <v>4224</v>
      </c>
      <c r="G80" t="s">
        <v>17</v>
      </c>
    </row>
    <row r="81" spans="1:7" x14ac:dyDescent="0.45">
      <c r="A81" t="s">
        <v>89</v>
      </c>
      <c r="B81">
        <v>8.3699999999999992</v>
      </c>
      <c r="C81">
        <v>0</v>
      </c>
      <c r="D81">
        <v>26.1</v>
      </c>
      <c r="E81">
        <v>9313</v>
      </c>
      <c r="F81">
        <v>4753</v>
      </c>
      <c r="G81" t="s">
        <v>17</v>
      </c>
    </row>
    <row r="82" spans="1:7" x14ac:dyDescent="0.45">
      <c r="A82" t="s">
        <v>90</v>
      </c>
      <c r="B82">
        <v>10</v>
      </c>
      <c r="C82">
        <v>13.58</v>
      </c>
      <c r="D82">
        <v>42.2</v>
      </c>
      <c r="E82">
        <v>9511</v>
      </c>
      <c r="F82">
        <v>6462</v>
      </c>
      <c r="G82" t="s">
        <v>17</v>
      </c>
    </row>
    <row r="83" spans="1:7" x14ac:dyDescent="0.45">
      <c r="A83" t="s">
        <v>91</v>
      </c>
      <c r="B83">
        <v>8.5500000000000007</v>
      </c>
      <c r="C83">
        <v>70.87</v>
      </c>
      <c r="D83">
        <v>35.200000000000003</v>
      </c>
      <c r="E83">
        <v>9517</v>
      </c>
      <c r="F83">
        <v>3617</v>
      </c>
      <c r="G83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5D5B-41E7-44E8-A1EB-6F0EE54975B7}">
  <dimension ref="A1:N83"/>
  <sheetViews>
    <sheetView tabSelected="1" topLeftCell="M29" zoomScale="85" zoomScaleNormal="85" workbookViewId="0">
      <selection activeCell="M39" sqref="M39"/>
    </sheetView>
  </sheetViews>
  <sheetFormatPr defaultRowHeight="17.5" x14ac:dyDescent="0.45"/>
  <cols>
    <col min="7" max="7" width="0" hidden="1" customWidth="1"/>
    <col min="13" max="14" width="122.6132812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117</v>
      </c>
      <c r="G1" t="s">
        <v>6</v>
      </c>
      <c r="H1" t="s">
        <v>118</v>
      </c>
      <c r="I1" t="s">
        <v>119</v>
      </c>
      <c r="J1" t="s">
        <v>5</v>
      </c>
      <c r="K1" t="s">
        <v>6</v>
      </c>
      <c r="N1" s="3"/>
    </row>
    <row r="2" spans="1:14" x14ac:dyDescent="0.45">
      <c r="A2" t="s">
        <v>7</v>
      </c>
      <c r="B2">
        <v>13.11</v>
      </c>
      <c r="C2">
        <v>11.16</v>
      </c>
      <c r="D2">
        <v>68.8</v>
      </c>
      <c r="E2">
        <v>1113</v>
      </c>
      <c r="F2">
        <f>IF(K1="prof",1,0)</f>
        <v>0</v>
      </c>
      <c r="G2" t="s">
        <v>8</v>
      </c>
      <c r="H2">
        <f>IF(K1="wc",1,0)</f>
        <v>0</v>
      </c>
      <c r="I2">
        <f>IF(K1="bc",1,0)</f>
        <v>0</v>
      </c>
      <c r="J2">
        <v>12351</v>
      </c>
      <c r="K2" t="s">
        <v>8</v>
      </c>
    </row>
    <row r="3" spans="1:14" x14ac:dyDescent="0.45">
      <c r="A3" t="s">
        <v>9</v>
      </c>
      <c r="B3">
        <v>12.26</v>
      </c>
      <c r="C3">
        <v>4.0199999999999996</v>
      </c>
      <c r="D3">
        <v>69.099999999999994</v>
      </c>
      <c r="E3">
        <v>1130</v>
      </c>
      <c r="F3">
        <f t="shared" ref="F3:F66" si="0">IF(K2="prof",1,0)</f>
        <v>1</v>
      </c>
      <c r="G3" t="s">
        <v>8</v>
      </c>
      <c r="H3">
        <f t="shared" ref="H3:H66" si="1">IF(K2="wc",1,0)</f>
        <v>0</v>
      </c>
      <c r="I3">
        <f t="shared" ref="I3:I66" si="2">IF(K2="bc",1,0)</f>
        <v>0</v>
      </c>
      <c r="J3">
        <v>25879</v>
      </c>
      <c r="K3" t="s">
        <v>8</v>
      </c>
    </row>
    <row r="4" spans="1:14" x14ac:dyDescent="0.45">
      <c r="A4" t="s">
        <v>10</v>
      </c>
      <c r="B4">
        <v>15.97</v>
      </c>
      <c r="C4">
        <v>19.59</v>
      </c>
      <c r="D4">
        <v>84.6</v>
      </c>
      <c r="E4">
        <v>2711</v>
      </c>
      <c r="F4">
        <f t="shared" si="0"/>
        <v>1</v>
      </c>
      <c r="G4" t="s">
        <v>8</v>
      </c>
      <c r="H4">
        <f t="shared" si="1"/>
        <v>0</v>
      </c>
      <c r="I4">
        <f t="shared" si="2"/>
        <v>0</v>
      </c>
      <c r="J4">
        <v>12480</v>
      </c>
      <c r="K4" t="s">
        <v>8</v>
      </c>
    </row>
    <row r="5" spans="1:14" x14ac:dyDescent="0.45">
      <c r="A5" t="s">
        <v>11</v>
      </c>
      <c r="B5">
        <v>15.08</v>
      </c>
      <c r="C5">
        <v>46.8</v>
      </c>
      <c r="D5">
        <v>66.099999999999994</v>
      </c>
      <c r="E5">
        <v>2733</v>
      </c>
      <c r="F5">
        <f t="shared" si="0"/>
        <v>1</v>
      </c>
      <c r="G5" t="s">
        <v>8</v>
      </c>
      <c r="H5">
        <f t="shared" si="1"/>
        <v>0</v>
      </c>
      <c r="I5">
        <f t="shared" si="2"/>
        <v>0</v>
      </c>
      <c r="J5">
        <v>8034</v>
      </c>
      <c r="K5" t="s">
        <v>8</v>
      </c>
    </row>
    <row r="6" spans="1:14" x14ac:dyDescent="0.45">
      <c r="A6" t="s">
        <v>12</v>
      </c>
      <c r="B6">
        <v>15.96</v>
      </c>
      <c r="C6">
        <v>10.56</v>
      </c>
      <c r="D6">
        <v>87.2</v>
      </c>
      <c r="E6">
        <v>3111</v>
      </c>
      <c r="F6">
        <f t="shared" si="0"/>
        <v>1</v>
      </c>
      <c r="G6" t="s">
        <v>8</v>
      </c>
      <c r="H6">
        <f t="shared" si="1"/>
        <v>0</v>
      </c>
      <c r="I6">
        <f>IF(K5="bc",1,0)</f>
        <v>0</v>
      </c>
      <c r="J6">
        <v>25308</v>
      </c>
      <c r="K6" t="s">
        <v>8</v>
      </c>
    </row>
    <row r="7" spans="1:14" x14ac:dyDescent="0.45">
      <c r="A7" t="s">
        <v>13</v>
      </c>
      <c r="B7">
        <v>15.94</v>
      </c>
      <c r="C7">
        <v>4.32</v>
      </c>
      <c r="D7">
        <v>66.7</v>
      </c>
      <c r="E7">
        <v>3115</v>
      </c>
      <c r="F7">
        <f t="shared" si="0"/>
        <v>1</v>
      </c>
      <c r="G7" t="s">
        <v>8</v>
      </c>
      <c r="H7">
        <f t="shared" si="1"/>
        <v>0</v>
      </c>
      <c r="I7">
        <f t="shared" si="2"/>
        <v>0</v>
      </c>
      <c r="J7">
        <v>14558</v>
      </c>
      <c r="K7" t="s">
        <v>8</v>
      </c>
    </row>
    <row r="8" spans="1:14" x14ac:dyDescent="0.45">
      <c r="A8" t="s">
        <v>14</v>
      </c>
      <c r="B8">
        <v>14.71</v>
      </c>
      <c r="C8">
        <v>6.91</v>
      </c>
      <c r="D8">
        <v>68.400000000000006</v>
      </c>
      <c r="E8">
        <v>3117</v>
      </c>
      <c r="F8">
        <f t="shared" si="0"/>
        <v>1</v>
      </c>
      <c r="G8" t="s">
        <v>8</v>
      </c>
      <c r="H8">
        <f t="shared" si="1"/>
        <v>0</v>
      </c>
      <c r="I8">
        <f t="shared" si="2"/>
        <v>0</v>
      </c>
      <c r="J8">
        <v>17498</v>
      </c>
      <c r="K8" t="s">
        <v>8</v>
      </c>
      <c r="M8" t="s">
        <v>108</v>
      </c>
    </row>
    <row r="9" spans="1:14" x14ac:dyDescent="0.45">
      <c r="A9" t="s">
        <v>15</v>
      </c>
      <c r="B9">
        <v>12.46</v>
      </c>
      <c r="C9">
        <v>96.12</v>
      </c>
      <c r="D9">
        <v>64.7</v>
      </c>
      <c r="E9">
        <v>3131</v>
      </c>
      <c r="F9">
        <f t="shared" si="0"/>
        <v>1</v>
      </c>
      <c r="G9" t="s">
        <v>8</v>
      </c>
      <c r="H9">
        <f>IF(K8="wc",1,0)</f>
        <v>0</v>
      </c>
      <c r="I9">
        <f t="shared" si="2"/>
        <v>0</v>
      </c>
      <c r="J9">
        <v>4614</v>
      </c>
      <c r="K9" t="s">
        <v>8</v>
      </c>
      <c r="M9" t="s">
        <v>109</v>
      </c>
    </row>
    <row r="10" spans="1:14" x14ac:dyDescent="0.45">
      <c r="A10" t="s">
        <v>16</v>
      </c>
      <c r="B10">
        <v>9.4499999999999993</v>
      </c>
      <c r="C10">
        <v>76.14</v>
      </c>
      <c r="D10">
        <v>34.9</v>
      </c>
      <c r="E10">
        <v>3135</v>
      </c>
      <c r="F10">
        <f t="shared" si="0"/>
        <v>1</v>
      </c>
      <c r="G10" t="s">
        <v>8</v>
      </c>
      <c r="H10">
        <f t="shared" si="1"/>
        <v>0</v>
      </c>
      <c r="I10">
        <f t="shared" si="2"/>
        <v>0</v>
      </c>
      <c r="J10">
        <v>3485</v>
      </c>
      <c r="K10" t="s">
        <v>17</v>
      </c>
      <c r="M10" t="s">
        <v>110</v>
      </c>
    </row>
    <row r="11" spans="1:14" x14ac:dyDescent="0.45">
      <c r="A11" t="s">
        <v>18</v>
      </c>
      <c r="B11">
        <v>13.62</v>
      </c>
      <c r="C11">
        <v>82.66</v>
      </c>
      <c r="D11">
        <v>72.099999999999994</v>
      </c>
      <c r="E11">
        <v>3137</v>
      </c>
      <c r="F11">
        <f t="shared" si="0"/>
        <v>0</v>
      </c>
      <c r="G11" t="s">
        <v>8</v>
      </c>
      <c r="H11">
        <f t="shared" si="1"/>
        <v>0</v>
      </c>
      <c r="I11">
        <f t="shared" si="2"/>
        <v>1</v>
      </c>
      <c r="J11">
        <v>5092</v>
      </c>
      <c r="K11" t="s">
        <v>8</v>
      </c>
    </row>
    <row r="12" spans="1:14" x14ac:dyDescent="0.45">
      <c r="A12" t="s">
        <v>19</v>
      </c>
      <c r="B12">
        <v>15.21</v>
      </c>
      <c r="C12">
        <v>24.71</v>
      </c>
      <c r="D12">
        <v>69.3</v>
      </c>
      <c r="E12">
        <v>3151</v>
      </c>
      <c r="F12">
        <f t="shared" si="0"/>
        <v>1</v>
      </c>
      <c r="G12" t="s">
        <v>8</v>
      </c>
      <c r="H12">
        <f t="shared" si="1"/>
        <v>0</v>
      </c>
      <c r="I12">
        <f t="shared" si="2"/>
        <v>0</v>
      </c>
      <c r="J12">
        <v>10432</v>
      </c>
      <c r="K12" t="s">
        <v>8</v>
      </c>
      <c r="M12" t="s">
        <v>111</v>
      </c>
    </row>
    <row r="13" spans="1:14" x14ac:dyDescent="0.45">
      <c r="A13" t="s">
        <v>20</v>
      </c>
      <c r="B13">
        <v>12.79</v>
      </c>
      <c r="C13">
        <v>76.040000000000006</v>
      </c>
      <c r="D13">
        <v>67.5</v>
      </c>
      <c r="E13">
        <v>3156</v>
      </c>
      <c r="F13">
        <f t="shared" si="0"/>
        <v>1</v>
      </c>
      <c r="G13" t="s">
        <v>8</v>
      </c>
      <c r="H13">
        <f t="shared" si="1"/>
        <v>0</v>
      </c>
      <c r="I13">
        <f t="shared" si="2"/>
        <v>0</v>
      </c>
      <c r="J13">
        <v>5180</v>
      </c>
      <c r="K13" t="s">
        <v>21</v>
      </c>
      <c r="M13" t="s">
        <v>112</v>
      </c>
    </row>
    <row r="14" spans="1:14" x14ac:dyDescent="0.45">
      <c r="A14" t="s">
        <v>22</v>
      </c>
      <c r="B14">
        <v>11.09</v>
      </c>
      <c r="C14">
        <v>21.03</v>
      </c>
      <c r="D14">
        <v>57.2</v>
      </c>
      <c r="E14">
        <v>3314</v>
      </c>
      <c r="F14">
        <f t="shared" si="0"/>
        <v>0</v>
      </c>
      <c r="G14" t="s">
        <v>8</v>
      </c>
      <c r="H14">
        <f t="shared" si="1"/>
        <v>1</v>
      </c>
      <c r="I14">
        <f t="shared" si="2"/>
        <v>0</v>
      </c>
      <c r="J14">
        <v>6197</v>
      </c>
      <c r="K14" t="s">
        <v>8</v>
      </c>
      <c r="M14" t="s">
        <v>113</v>
      </c>
    </row>
    <row r="15" spans="1:14" x14ac:dyDescent="0.45">
      <c r="A15" t="s">
        <v>23</v>
      </c>
      <c r="B15">
        <v>12.71</v>
      </c>
      <c r="C15">
        <v>11.15</v>
      </c>
      <c r="D15">
        <v>57.6</v>
      </c>
      <c r="E15">
        <v>3337</v>
      </c>
      <c r="F15">
        <f t="shared" si="0"/>
        <v>1</v>
      </c>
      <c r="G15" t="s">
        <v>8</v>
      </c>
      <c r="H15">
        <f t="shared" si="1"/>
        <v>0</v>
      </c>
      <c r="I15">
        <f t="shared" si="2"/>
        <v>0</v>
      </c>
      <c r="J15">
        <v>7562</v>
      </c>
      <c r="K15" t="s">
        <v>21</v>
      </c>
      <c r="M15" t="s">
        <v>114</v>
      </c>
    </row>
    <row r="16" spans="1:14" x14ac:dyDescent="0.45">
      <c r="A16" t="s">
        <v>24</v>
      </c>
      <c r="B16">
        <v>11.44</v>
      </c>
      <c r="C16">
        <v>8.1300000000000008</v>
      </c>
      <c r="D16">
        <v>54.1</v>
      </c>
      <c r="E16">
        <v>3373</v>
      </c>
      <c r="F16">
        <f t="shared" si="0"/>
        <v>0</v>
      </c>
      <c r="G16" t="s">
        <v>8</v>
      </c>
      <c r="H16">
        <f t="shared" si="1"/>
        <v>1</v>
      </c>
      <c r="I16">
        <f t="shared" si="2"/>
        <v>0</v>
      </c>
      <c r="J16">
        <v>8206</v>
      </c>
      <c r="K16" t="s">
        <v>21</v>
      </c>
      <c r="M16" t="s">
        <v>115</v>
      </c>
    </row>
    <row r="17" spans="1:13" x14ac:dyDescent="0.45">
      <c r="A17" t="s">
        <v>25</v>
      </c>
      <c r="B17">
        <v>11.59</v>
      </c>
      <c r="C17">
        <v>97.51</v>
      </c>
      <c r="D17">
        <v>46</v>
      </c>
      <c r="E17">
        <v>4111</v>
      </c>
      <c r="F17">
        <f t="shared" si="0"/>
        <v>0</v>
      </c>
      <c r="G17" t="s">
        <v>8</v>
      </c>
      <c r="H17">
        <f t="shared" si="1"/>
        <v>1</v>
      </c>
      <c r="I17">
        <f t="shared" si="2"/>
        <v>0</v>
      </c>
      <c r="J17">
        <v>4036</v>
      </c>
      <c r="K17" t="s">
        <v>21</v>
      </c>
      <c r="M17" t="s">
        <v>116</v>
      </c>
    </row>
    <row r="18" spans="1:13" x14ac:dyDescent="0.45">
      <c r="A18" t="s">
        <v>26</v>
      </c>
      <c r="B18">
        <v>11.49</v>
      </c>
      <c r="C18">
        <v>95.97</v>
      </c>
      <c r="D18">
        <v>41.9</v>
      </c>
      <c r="E18">
        <v>4113</v>
      </c>
      <c r="F18">
        <f t="shared" si="0"/>
        <v>0</v>
      </c>
      <c r="G18" t="s">
        <v>8</v>
      </c>
      <c r="H18">
        <f t="shared" si="1"/>
        <v>1</v>
      </c>
      <c r="I18">
        <f t="shared" si="2"/>
        <v>0</v>
      </c>
      <c r="J18">
        <v>3148</v>
      </c>
      <c r="K18" t="s">
        <v>21</v>
      </c>
    </row>
    <row r="19" spans="1:13" x14ac:dyDescent="0.45">
      <c r="A19" t="s">
        <v>27</v>
      </c>
      <c r="B19">
        <v>11.32</v>
      </c>
      <c r="C19">
        <v>68.239999999999995</v>
      </c>
      <c r="D19">
        <v>49.4</v>
      </c>
      <c r="E19">
        <v>4131</v>
      </c>
      <c r="F19">
        <f t="shared" si="0"/>
        <v>0</v>
      </c>
      <c r="G19" t="s">
        <v>8</v>
      </c>
      <c r="H19">
        <f t="shared" si="1"/>
        <v>1</v>
      </c>
      <c r="I19">
        <f t="shared" si="2"/>
        <v>0</v>
      </c>
      <c r="J19">
        <v>4348</v>
      </c>
      <c r="K19" t="s">
        <v>21</v>
      </c>
    </row>
    <row r="20" spans="1:13" x14ac:dyDescent="0.45">
      <c r="A20" t="s">
        <v>28</v>
      </c>
      <c r="B20">
        <v>10.64</v>
      </c>
      <c r="C20">
        <v>91.76</v>
      </c>
      <c r="D20">
        <v>42.3</v>
      </c>
      <c r="E20">
        <v>4133</v>
      </c>
      <c r="F20">
        <f t="shared" si="0"/>
        <v>0</v>
      </c>
      <c r="G20" t="s">
        <v>8</v>
      </c>
      <c r="H20">
        <f t="shared" si="1"/>
        <v>1</v>
      </c>
      <c r="I20">
        <f t="shared" si="2"/>
        <v>0</v>
      </c>
      <c r="J20">
        <v>2448</v>
      </c>
      <c r="K20" t="s">
        <v>21</v>
      </c>
    </row>
    <row r="21" spans="1:13" x14ac:dyDescent="0.45">
      <c r="A21" t="s">
        <v>29</v>
      </c>
      <c r="B21">
        <v>11.36</v>
      </c>
      <c r="C21">
        <v>75.92</v>
      </c>
      <c r="D21">
        <v>47.7</v>
      </c>
      <c r="E21">
        <v>4143</v>
      </c>
      <c r="F21">
        <f t="shared" si="0"/>
        <v>0</v>
      </c>
      <c r="G21" t="s">
        <v>8</v>
      </c>
      <c r="H21">
        <f t="shared" si="1"/>
        <v>1</v>
      </c>
      <c r="I21">
        <f t="shared" si="2"/>
        <v>0</v>
      </c>
      <c r="J21">
        <v>4330</v>
      </c>
      <c r="K21" t="s">
        <v>21</v>
      </c>
    </row>
    <row r="22" spans="1:13" x14ac:dyDescent="0.45">
      <c r="A22" t="s">
        <v>30</v>
      </c>
      <c r="B22">
        <v>9.17</v>
      </c>
      <c r="C22">
        <v>11.37</v>
      </c>
      <c r="D22">
        <v>30.9</v>
      </c>
      <c r="E22">
        <v>4153</v>
      </c>
      <c r="F22">
        <f t="shared" si="0"/>
        <v>0</v>
      </c>
      <c r="G22" t="s">
        <v>8</v>
      </c>
      <c r="H22">
        <f t="shared" si="1"/>
        <v>1</v>
      </c>
      <c r="I22">
        <f t="shared" si="2"/>
        <v>0</v>
      </c>
      <c r="J22">
        <v>4761</v>
      </c>
      <c r="K22" t="s">
        <v>21</v>
      </c>
    </row>
    <row r="23" spans="1:13" x14ac:dyDescent="0.45">
      <c r="A23" t="s">
        <v>31</v>
      </c>
      <c r="B23">
        <v>12.09</v>
      </c>
      <c r="C23">
        <v>83.19</v>
      </c>
      <c r="D23">
        <v>32.700000000000003</v>
      </c>
      <c r="E23">
        <v>4161</v>
      </c>
      <c r="F23">
        <f t="shared" si="0"/>
        <v>0</v>
      </c>
      <c r="G23" t="s">
        <v>8</v>
      </c>
      <c r="H23">
        <f t="shared" si="1"/>
        <v>1</v>
      </c>
      <c r="I23">
        <f t="shared" si="2"/>
        <v>0</v>
      </c>
      <c r="J23">
        <v>3016</v>
      </c>
      <c r="K23" t="s">
        <v>21</v>
      </c>
    </row>
    <row r="24" spans="1:13" x14ac:dyDescent="0.45">
      <c r="A24" t="s">
        <v>32</v>
      </c>
      <c r="B24">
        <v>11.04</v>
      </c>
      <c r="C24">
        <v>92.86</v>
      </c>
      <c r="D24">
        <v>38.700000000000003</v>
      </c>
      <c r="E24">
        <v>4171</v>
      </c>
      <c r="F24">
        <f t="shared" si="0"/>
        <v>0</v>
      </c>
      <c r="G24" t="s">
        <v>8</v>
      </c>
      <c r="H24">
        <f t="shared" si="1"/>
        <v>1</v>
      </c>
      <c r="I24">
        <f t="shared" si="2"/>
        <v>0</v>
      </c>
      <c r="J24">
        <v>2901</v>
      </c>
      <c r="K24" t="s">
        <v>21</v>
      </c>
    </row>
    <row r="25" spans="1:13" x14ac:dyDescent="0.45">
      <c r="A25" t="s">
        <v>33</v>
      </c>
      <c r="B25">
        <v>9.2200000000000006</v>
      </c>
      <c r="C25">
        <v>7.62</v>
      </c>
      <c r="D25">
        <v>36.1</v>
      </c>
      <c r="E25">
        <v>4172</v>
      </c>
      <c r="F25">
        <f t="shared" si="0"/>
        <v>0</v>
      </c>
      <c r="G25" t="s">
        <v>8</v>
      </c>
      <c r="H25">
        <f t="shared" si="1"/>
        <v>1</v>
      </c>
      <c r="I25">
        <f t="shared" si="2"/>
        <v>0</v>
      </c>
      <c r="J25">
        <v>5511</v>
      </c>
      <c r="K25" t="s">
        <v>21</v>
      </c>
    </row>
    <row r="26" spans="1:13" x14ac:dyDescent="0.45">
      <c r="A26" t="s">
        <v>34</v>
      </c>
      <c r="B26">
        <v>10.07</v>
      </c>
      <c r="C26">
        <v>52.27</v>
      </c>
      <c r="D26">
        <v>37.200000000000003</v>
      </c>
      <c r="E26">
        <v>4173</v>
      </c>
      <c r="F26">
        <f t="shared" si="0"/>
        <v>0</v>
      </c>
      <c r="G26" t="s">
        <v>8</v>
      </c>
      <c r="H26">
        <f t="shared" si="1"/>
        <v>1</v>
      </c>
      <c r="I26">
        <f t="shared" si="2"/>
        <v>0</v>
      </c>
      <c r="J26">
        <v>3739</v>
      </c>
      <c r="K26" t="s">
        <v>21</v>
      </c>
    </row>
    <row r="27" spans="1:13" x14ac:dyDescent="0.45">
      <c r="A27" t="s">
        <v>35</v>
      </c>
      <c r="B27">
        <v>10.51</v>
      </c>
      <c r="C27">
        <v>96.14</v>
      </c>
      <c r="D27">
        <v>38.1</v>
      </c>
      <c r="E27">
        <v>4175</v>
      </c>
      <c r="F27">
        <f t="shared" si="0"/>
        <v>0</v>
      </c>
      <c r="G27" t="s">
        <v>8</v>
      </c>
      <c r="H27">
        <f t="shared" si="1"/>
        <v>1</v>
      </c>
      <c r="I27">
        <f t="shared" si="2"/>
        <v>0</v>
      </c>
      <c r="J27">
        <v>3161</v>
      </c>
      <c r="K27" t="s">
        <v>21</v>
      </c>
    </row>
    <row r="28" spans="1:13" x14ac:dyDescent="0.45">
      <c r="A28" t="s">
        <v>36</v>
      </c>
      <c r="B28">
        <v>11.2</v>
      </c>
      <c r="C28">
        <v>47.06</v>
      </c>
      <c r="D28">
        <v>29.4</v>
      </c>
      <c r="E28">
        <v>4191</v>
      </c>
      <c r="F28">
        <f t="shared" si="0"/>
        <v>0</v>
      </c>
      <c r="G28" t="s">
        <v>8</v>
      </c>
      <c r="H28">
        <f t="shared" si="1"/>
        <v>1</v>
      </c>
      <c r="I28">
        <f t="shared" si="2"/>
        <v>0</v>
      </c>
      <c r="J28">
        <v>4741</v>
      </c>
      <c r="K28" t="s">
        <v>21</v>
      </c>
    </row>
    <row r="29" spans="1:13" x14ac:dyDescent="0.45">
      <c r="A29" t="s">
        <v>37</v>
      </c>
      <c r="B29">
        <v>11.13</v>
      </c>
      <c r="C29">
        <v>56.1</v>
      </c>
      <c r="D29">
        <v>51.1</v>
      </c>
      <c r="E29">
        <v>4192</v>
      </c>
      <c r="F29">
        <f t="shared" si="0"/>
        <v>0</v>
      </c>
      <c r="G29" t="s">
        <v>8</v>
      </c>
      <c r="H29">
        <f t="shared" si="1"/>
        <v>1</v>
      </c>
      <c r="I29">
        <f t="shared" si="2"/>
        <v>0</v>
      </c>
      <c r="J29">
        <v>5052</v>
      </c>
      <c r="K29" t="s">
        <v>21</v>
      </c>
    </row>
    <row r="30" spans="1:13" x14ac:dyDescent="0.45">
      <c r="A30" t="s">
        <v>38</v>
      </c>
      <c r="B30">
        <v>11.43</v>
      </c>
      <c r="C30">
        <v>39.17</v>
      </c>
      <c r="D30">
        <v>35.700000000000003</v>
      </c>
      <c r="E30">
        <v>4193</v>
      </c>
      <c r="F30">
        <f t="shared" si="0"/>
        <v>0</v>
      </c>
      <c r="G30" t="s">
        <v>8</v>
      </c>
      <c r="H30">
        <f t="shared" si="1"/>
        <v>1</v>
      </c>
      <c r="I30">
        <f t="shared" si="2"/>
        <v>0</v>
      </c>
      <c r="J30">
        <v>6259</v>
      </c>
      <c r="K30" t="s">
        <v>21</v>
      </c>
    </row>
    <row r="31" spans="1:13" x14ac:dyDescent="0.45">
      <c r="A31" t="s">
        <v>39</v>
      </c>
      <c r="B31">
        <v>11</v>
      </c>
      <c r="C31">
        <v>63.23</v>
      </c>
      <c r="D31">
        <v>35.6</v>
      </c>
      <c r="E31">
        <v>4197</v>
      </c>
      <c r="F31">
        <f t="shared" si="0"/>
        <v>0</v>
      </c>
      <c r="G31" t="s">
        <v>8</v>
      </c>
      <c r="H31">
        <f t="shared" si="1"/>
        <v>1</v>
      </c>
      <c r="I31">
        <f t="shared" si="2"/>
        <v>0</v>
      </c>
      <c r="J31">
        <v>4075</v>
      </c>
      <c r="K31" t="s">
        <v>21</v>
      </c>
    </row>
    <row r="32" spans="1:13" x14ac:dyDescent="0.45">
      <c r="A32" t="s">
        <v>40</v>
      </c>
      <c r="B32">
        <v>9.84</v>
      </c>
      <c r="C32">
        <v>17.04</v>
      </c>
      <c r="D32">
        <v>41.5</v>
      </c>
      <c r="E32">
        <v>5130</v>
      </c>
      <c r="F32">
        <f t="shared" si="0"/>
        <v>0</v>
      </c>
      <c r="G32" t="s">
        <v>8</v>
      </c>
      <c r="H32">
        <f t="shared" si="1"/>
        <v>1</v>
      </c>
      <c r="I32">
        <f t="shared" si="2"/>
        <v>0</v>
      </c>
      <c r="J32">
        <v>7482</v>
      </c>
      <c r="K32" t="s">
        <v>21</v>
      </c>
    </row>
    <row r="33" spans="1:11" x14ac:dyDescent="0.45">
      <c r="A33" t="s">
        <v>41</v>
      </c>
      <c r="B33">
        <v>11.13</v>
      </c>
      <c r="C33">
        <v>3.16</v>
      </c>
      <c r="D33">
        <v>40.200000000000003</v>
      </c>
      <c r="E33">
        <v>5133</v>
      </c>
      <c r="F33">
        <f t="shared" si="0"/>
        <v>0</v>
      </c>
      <c r="G33" t="s">
        <v>8</v>
      </c>
      <c r="H33">
        <f t="shared" si="1"/>
        <v>1</v>
      </c>
      <c r="I33">
        <f t="shared" si="2"/>
        <v>0</v>
      </c>
      <c r="J33">
        <v>8780</v>
      </c>
      <c r="K33" t="s">
        <v>21</v>
      </c>
    </row>
    <row r="34" spans="1:11" x14ac:dyDescent="0.45">
      <c r="A34" t="s">
        <v>42</v>
      </c>
      <c r="B34">
        <v>10.050000000000001</v>
      </c>
      <c r="C34">
        <v>67.819999999999993</v>
      </c>
      <c r="D34">
        <v>26.5</v>
      </c>
      <c r="E34">
        <v>5137</v>
      </c>
      <c r="F34">
        <f t="shared" si="0"/>
        <v>0</v>
      </c>
      <c r="G34" t="s">
        <v>8</v>
      </c>
      <c r="H34">
        <f t="shared" si="1"/>
        <v>1</v>
      </c>
      <c r="I34">
        <f t="shared" si="2"/>
        <v>0</v>
      </c>
      <c r="J34">
        <v>2594</v>
      </c>
      <c r="K34" t="s">
        <v>21</v>
      </c>
    </row>
    <row r="35" spans="1:11" x14ac:dyDescent="0.45">
      <c r="A35" t="s">
        <v>43</v>
      </c>
      <c r="B35">
        <v>9.6199999999999992</v>
      </c>
      <c r="C35">
        <v>7</v>
      </c>
      <c r="D35">
        <v>14.8</v>
      </c>
      <c r="E35">
        <v>5143</v>
      </c>
      <c r="F35">
        <f t="shared" si="0"/>
        <v>0</v>
      </c>
      <c r="G35" t="s">
        <v>8</v>
      </c>
      <c r="H35">
        <f t="shared" si="1"/>
        <v>1</v>
      </c>
      <c r="I35">
        <f t="shared" si="2"/>
        <v>0</v>
      </c>
      <c r="J35">
        <v>918</v>
      </c>
      <c r="K35" t="s">
        <v>21</v>
      </c>
    </row>
    <row r="36" spans="1:11" x14ac:dyDescent="0.45">
      <c r="A36" t="s">
        <v>44</v>
      </c>
      <c r="B36">
        <v>9.93</v>
      </c>
      <c r="C36">
        <v>3.69</v>
      </c>
      <c r="D36">
        <v>23.3</v>
      </c>
      <c r="E36">
        <v>5145</v>
      </c>
      <c r="F36">
        <f t="shared" si="0"/>
        <v>0</v>
      </c>
      <c r="G36" t="s">
        <v>8</v>
      </c>
      <c r="H36">
        <f t="shared" si="1"/>
        <v>1</v>
      </c>
      <c r="I36">
        <f t="shared" si="2"/>
        <v>0</v>
      </c>
      <c r="J36">
        <v>2370</v>
      </c>
      <c r="K36" t="s">
        <v>17</v>
      </c>
    </row>
    <row r="37" spans="1:11" x14ac:dyDescent="0.45">
      <c r="A37" t="s">
        <v>45</v>
      </c>
      <c r="B37">
        <v>11.6</v>
      </c>
      <c r="C37">
        <v>13.09</v>
      </c>
      <c r="D37">
        <v>47.3</v>
      </c>
      <c r="E37">
        <v>5171</v>
      </c>
      <c r="F37">
        <f t="shared" si="0"/>
        <v>0</v>
      </c>
      <c r="G37" t="s">
        <v>8</v>
      </c>
      <c r="H37">
        <f t="shared" si="1"/>
        <v>0</v>
      </c>
      <c r="I37">
        <f t="shared" si="2"/>
        <v>1</v>
      </c>
      <c r="J37">
        <v>8131</v>
      </c>
      <c r="K37" t="s">
        <v>21</v>
      </c>
    </row>
    <row r="38" spans="1:11" x14ac:dyDescent="0.45">
      <c r="A38" t="s">
        <v>46</v>
      </c>
      <c r="B38">
        <v>11.09</v>
      </c>
      <c r="C38">
        <v>24.44</v>
      </c>
      <c r="D38">
        <v>47.1</v>
      </c>
      <c r="E38">
        <v>5172</v>
      </c>
      <c r="F38">
        <f t="shared" si="0"/>
        <v>0</v>
      </c>
      <c r="G38" t="s">
        <v>8</v>
      </c>
      <c r="H38">
        <f t="shared" si="1"/>
        <v>1</v>
      </c>
      <c r="I38">
        <f t="shared" si="2"/>
        <v>0</v>
      </c>
      <c r="J38">
        <v>6992</v>
      </c>
      <c r="K38" t="s">
        <v>21</v>
      </c>
    </row>
    <row r="39" spans="1:11" x14ac:dyDescent="0.45">
      <c r="A39" t="s">
        <v>47</v>
      </c>
      <c r="B39">
        <v>9.4700000000000006</v>
      </c>
      <c r="C39">
        <v>0</v>
      </c>
      <c r="D39">
        <v>43.5</v>
      </c>
      <c r="E39">
        <v>6111</v>
      </c>
      <c r="F39">
        <f t="shared" si="0"/>
        <v>0</v>
      </c>
      <c r="G39" t="s">
        <v>8</v>
      </c>
      <c r="H39">
        <f t="shared" si="1"/>
        <v>1</v>
      </c>
      <c r="I39">
        <f t="shared" si="2"/>
        <v>0</v>
      </c>
      <c r="J39">
        <v>8895</v>
      </c>
      <c r="K39" t="s">
        <v>17</v>
      </c>
    </row>
    <row r="40" spans="1:11" x14ac:dyDescent="0.45">
      <c r="A40" t="s">
        <v>48</v>
      </c>
      <c r="B40">
        <v>10.93</v>
      </c>
      <c r="C40">
        <v>1.65</v>
      </c>
      <c r="D40">
        <v>51.6</v>
      </c>
      <c r="E40">
        <v>6112</v>
      </c>
      <c r="F40">
        <f t="shared" si="0"/>
        <v>0</v>
      </c>
      <c r="G40" t="s">
        <v>8</v>
      </c>
      <c r="H40">
        <f t="shared" si="1"/>
        <v>0</v>
      </c>
      <c r="I40">
        <f t="shared" si="2"/>
        <v>1</v>
      </c>
      <c r="J40">
        <v>8891</v>
      </c>
      <c r="K40" t="s">
        <v>17</v>
      </c>
    </row>
    <row r="41" spans="1:11" x14ac:dyDescent="0.45">
      <c r="A41" t="s">
        <v>49</v>
      </c>
      <c r="B41">
        <v>7.74</v>
      </c>
      <c r="C41">
        <v>52</v>
      </c>
      <c r="D41">
        <v>29.7</v>
      </c>
      <c r="E41">
        <v>6121</v>
      </c>
      <c r="F41">
        <f t="shared" si="0"/>
        <v>0</v>
      </c>
      <c r="G41" t="s">
        <v>8</v>
      </c>
      <c r="H41">
        <f t="shared" si="1"/>
        <v>0</v>
      </c>
      <c r="I41">
        <f t="shared" si="2"/>
        <v>1</v>
      </c>
      <c r="J41">
        <v>3116</v>
      </c>
      <c r="K41" t="s">
        <v>17</v>
      </c>
    </row>
    <row r="42" spans="1:11" x14ac:dyDescent="0.45">
      <c r="A42" t="s">
        <v>50</v>
      </c>
      <c r="B42">
        <v>8.5</v>
      </c>
      <c r="C42">
        <v>15.51</v>
      </c>
      <c r="D42">
        <v>20.2</v>
      </c>
      <c r="E42">
        <v>6123</v>
      </c>
      <c r="F42">
        <f t="shared" si="0"/>
        <v>0</v>
      </c>
      <c r="G42" t="s">
        <v>8</v>
      </c>
      <c r="H42">
        <f t="shared" si="1"/>
        <v>0</v>
      </c>
      <c r="I42">
        <f t="shared" si="2"/>
        <v>1</v>
      </c>
      <c r="J42">
        <v>3930</v>
      </c>
      <c r="K42" t="s">
        <v>17</v>
      </c>
    </row>
    <row r="43" spans="1:11" x14ac:dyDescent="0.45">
      <c r="A43" t="s">
        <v>51</v>
      </c>
      <c r="B43">
        <v>10.57</v>
      </c>
      <c r="C43">
        <v>6.01</v>
      </c>
      <c r="D43">
        <v>54.9</v>
      </c>
      <c r="E43">
        <v>6141</v>
      </c>
      <c r="F43">
        <f t="shared" si="0"/>
        <v>0</v>
      </c>
      <c r="G43" t="s">
        <v>8</v>
      </c>
      <c r="H43">
        <f t="shared" si="1"/>
        <v>0</v>
      </c>
      <c r="I43">
        <f t="shared" si="2"/>
        <v>1</v>
      </c>
      <c r="J43">
        <v>7869</v>
      </c>
      <c r="K43" t="s">
        <v>17</v>
      </c>
    </row>
    <row r="44" spans="1:11" x14ac:dyDescent="0.45">
      <c r="A44" t="s">
        <v>52</v>
      </c>
      <c r="B44">
        <v>9.4600000000000009</v>
      </c>
      <c r="C44">
        <v>96.53</v>
      </c>
      <c r="D44">
        <v>25.9</v>
      </c>
      <c r="E44">
        <v>6147</v>
      </c>
      <c r="F44">
        <f t="shared" si="0"/>
        <v>0</v>
      </c>
      <c r="G44" t="s">
        <v>8</v>
      </c>
      <c r="H44">
        <f t="shared" si="1"/>
        <v>0</v>
      </c>
      <c r="I44">
        <f t="shared" si="2"/>
        <v>1</v>
      </c>
      <c r="J44">
        <v>611</v>
      </c>
      <c r="K44" t="s">
        <v>17</v>
      </c>
    </row>
    <row r="45" spans="1:11" x14ac:dyDescent="0.45">
      <c r="A45" t="s">
        <v>53</v>
      </c>
      <c r="B45">
        <v>7.33</v>
      </c>
      <c r="C45">
        <v>69.31</v>
      </c>
      <c r="D45">
        <v>20.8</v>
      </c>
      <c r="E45">
        <v>6162</v>
      </c>
      <c r="F45">
        <f t="shared" si="0"/>
        <v>0</v>
      </c>
      <c r="G45" t="s">
        <v>8</v>
      </c>
      <c r="H45">
        <f t="shared" si="1"/>
        <v>0</v>
      </c>
      <c r="I45">
        <f t="shared" si="2"/>
        <v>1</v>
      </c>
      <c r="J45">
        <v>3000</v>
      </c>
      <c r="K45" t="s">
        <v>17</v>
      </c>
    </row>
    <row r="46" spans="1:11" x14ac:dyDescent="0.45">
      <c r="A46" t="s">
        <v>54</v>
      </c>
      <c r="B46">
        <v>7.11</v>
      </c>
      <c r="C46">
        <v>33.57</v>
      </c>
      <c r="D46">
        <v>17.3</v>
      </c>
      <c r="E46">
        <v>6191</v>
      </c>
      <c r="F46">
        <f t="shared" si="0"/>
        <v>0</v>
      </c>
      <c r="G46" t="s">
        <v>8</v>
      </c>
      <c r="H46">
        <f t="shared" si="1"/>
        <v>0</v>
      </c>
      <c r="I46">
        <f t="shared" si="2"/>
        <v>1</v>
      </c>
      <c r="J46">
        <v>3472</v>
      </c>
      <c r="K46" t="s">
        <v>17</v>
      </c>
    </row>
    <row r="47" spans="1:11" x14ac:dyDescent="0.45">
      <c r="A47" t="s">
        <v>55</v>
      </c>
      <c r="B47">
        <v>7.58</v>
      </c>
      <c r="C47">
        <v>30.08</v>
      </c>
      <c r="D47">
        <v>20.100000000000001</v>
      </c>
      <c r="E47">
        <v>6193</v>
      </c>
      <c r="F47">
        <f t="shared" si="0"/>
        <v>0</v>
      </c>
      <c r="G47" t="s">
        <v>8</v>
      </c>
      <c r="H47">
        <f t="shared" si="1"/>
        <v>0</v>
      </c>
      <c r="I47">
        <f t="shared" si="2"/>
        <v>1</v>
      </c>
      <c r="J47">
        <v>3582</v>
      </c>
      <c r="K47" t="s">
        <v>17</v>
      </c>
    </row>
    <row r="48" spans="1:11" x14ac:dyDescent="0.45">
      <c r="A48" t="s">
        <v>56</v>
      </c>
      <c r="B48">
        <v>6.84</v>
      </c>
      <c r="C48">
        <v>3.6</v>
      </c>
      <c r="D48">
        <v>44.1</v>
      </c>
      <c r="E48">
        <v>7112</v>
      </c>
      <c r="F48">
        <f t="shared" si="0"/>
        <v>0</v>
      </c>
      <c r="G48" t="s">
        <v>8</v>
      </c>
      <c r="H48">
        <f t="shared" si="1"/>
        <v>0</v>
      </c>
      <c r="I48">
        <f t="shared" si="2"/>
        <v>1</v>
      </c>
      <c r="J48">
        <v>3643</v>
      </c>
      <c r="K48" t="s">
        <v>17</v>
      </c>
    </row>
    <row r="49" spans="1:11" x14ac:dyDescent="0.45">
      <c r="A49" t="s">
        <v>57</v>
      </c>
      <c r="B49">
        <v>8.6</v>
      </c>
      <c r="C49">
        <v>27.75</v>
      </c>
      <c r="D49">
        <v>21.5</v>
      </c>
      <c r="E49">
        <v>7182</v>
      </c>
      <c r="F49">
        <f t="shared" si="0"/>
        <v>0</v>
      </c>
      <c r="G49" t="s">
        <v>8</v>
      </c>
      <c r="H49">
        <f t="shared" si="1"/>
        <v>0</v>
      </c>
      <c r="I49">
        <f t="shared" si="2"/>
        <v>1</v>
      </c>
      <c r="J49">
        <v>1656</v>
      </c>
      <c r="K49" t="s">
        <v>17</v>
      </c>
    </row>
    <row r="50" spans="1:11" x14ac:dyDescent="0.45">
      <c r="A50" t="s">
        <v>58</v>
      </c>
      <c r="B50">
        <v>8.8800000000000008</v>
      </c>
      <c r="C50">
        <v>0</v>
      </c>
      <c r="D50">
        <v>35.299999999999997</v>
      </c>
      <c r="E50">
        <v>7711</v>
      </c>
      <c r="F50">
        <f t="shared" si="0"/>
        <v>0</v>
      </c>
      <c r="G50" t="s">
        <v>8</v>
      </c>
      <c r="H50">
        <f t="shared" si="1"/>
        <v>0</v>
      </c>
      <c r="I50">
        <f t="shared" si="2"/>
        <v>1</v>
      </c>
      <c r="J50">
        <v>6860</v>
      </c>
      <c r="K50" t="s">
        <v>17</v>
      </c>
    </row>
    <row r="51" spans="1:11" x14ac:dyDescent="0.45">
      <c r="A51" t="s">
        <v>59</v>
      </c>
      <c r="B51">
        <v>7.54</v>
      </c>
      <c r="C51">
        <v>33.299999999999997</v>
      </c>
      <c r="D51">
        <v>38.9</v>
      </c>
      <c r="E51">
        <v>8213</v>
      </c>
      <c r="F51">
        <f t="shared" si="0"/>
        <v>0</v>
      </c>
      <c r="G51" t="s">
        <v>8</v>
      </c>
      <c r="H51">
        <f t="shared" si="1"/>
        <v>0</v>
      </c>
      <c r="I51">
        <f t="shared" si="2"/>
        <v>1</v>
      </c>
      <c r="J51">
        <v>4199</v>
      </c>
      <c r="K51" t="s">
        <v>17</v>
      </c>
    </row>
    <row r="52" spans="1:11" x14ac:dyDescent="0.45">
      <c r="A52" t="s">
        <v>60</v>
      </c>
      <c r="B52">
        <v>7.64</v>
      </c>
      <c r="C52">
        <v>17.260000000000002</v>
      </c>
      <c r="D52">
        <v>25.2</v>
      </c>
      <c r="E52">
        <v>8215</v>
      </c>
      <c r="F52">
        <f t="shared" si="0"/>
        <v>0</v>
      </c>
      <c r="G52" t="s">
        <v>8</v>
      </c>
      <c r="H52">
        <f t="shared" si="1"/>
        <v>0</v>
      </c>
      <c r="I52">
        <f t="shared" si="2"/>
        <v>1</v>
      </c>
      <c r="J52">
        <v>5134</v>
      </c>
      <c r="K52" t="s">
        <v>17</v>
      </c>
    </row>
    <row r="53" spans="1:11" x14ac:dyDescent="0.45">
      <c r="A53" t="s">
        <v>61</v>
      </c>
      <c r="B53">
        <v>7.64</v>
      </c>
      <c r="C53">
        <v>17.260000000000002</v>
      </c>
      <c r="D53">
        <v>34.799999999999997</v>
      </c>
      <c r="E53">
        <v>8215</v>
      </c>
      <c r="F53">
        <f t="shared" si="0"/>
        <v>0</v>
      </c>
      <c r="G53" t="s">
        <v>8</v>
      </c>
      <c r="H53">
        <f t="shared" si="1"/>
        <v>0</v>
      </c>
      <c r="I53">
        <f t="shared" si="2"/>
        <v>1</v>
      </c>
      <c r="J53">
        <v>5134</v>
      </c>
      <c r="K53" t="s">
        <v>17</v>
      </c>
    </row>
    <row r="54" spans="1:11" x14ac:dyDescent="0.45">
      <c r="A54" t="s">
        <v>62</v>
      </c>
      <c r="B54">
        <v>7.42</v>
      </c>
      <c r="C54">
        <v>72.239999999999995</v>
      </c>
      <c r="D54">
        <v>23.2</v>
      </c>
      <c r="E54">
        <v>8221</v>
      </c>
      <c r="F54">
        <f t="shared" si="0"/>
        <v>0</v>
      </c>
      <c r="G54" t="s">
        <v>8</v>
      </c>
      <c r="H54">
        <f t="shared" si="1"/>
        <v>0</v>
      </c>
      <c r="I54">
        <f t="shared" si="2"/>
        <v>1</v>
      </c>
      <c r="J54">
        <v>1890</v>
      </c>
      <c r="K54" t="s">
        <v>17</v>
      </c>
    </row>
    <row r="55" spans="1:11" x14ac:dyDescent="0.45">
      <c r="A55" t="s">
        <v>63</v>
      </c>
      <c r="B55">
        <v>6.69</v>
      </c>
      <c r="C55">
        <v>31.36</v>
      </c>
      <c r="D55">
        <v>33.299999999999997</v>
      </c>
      <c r="E55">
        <v>8267</v>
      </c>
      <c r="F55">
        <f t="shared" si="0"/>
        <v>0</v>
      </c>
      <c r="G55" t="s">
        <v>8</v>
      </c>
      <c r="H55">
        <f t="shared" si="1"/>
        <v>0</v>
      </c>
      <c r="I55">
        <f t="shared" si="2"/>
        <v>1</v>
      </c>
      <c r="J55">
        <v>4443</v>
      </c>
      <c r="K55" t="s">
        <v>17</v>
      </c>
    </row>
    <row r="56" spans="1:11" x14ac:dyDescent="0.45">
      <c r="A56" t="s">
        <v>64</v>
      </c>
      <c r="B56">
        <v>6.74</v>
      </c>
      <c r="C56">
        <v>39.479999999999997</v>
      </c>
      <c r="D56">
        <v>28.8</v>
      </c>
      <c r="E56">
        <v>8278</v>
      </c>
      <c r="F56">
        <f t="shared" si="0"/>
        <v>0</v>
      </c>
      <c r="G56" t="s">
        <v>8</v>
      </c>
      <c r="H56">
        <f t="shared" si="1"/>
        <v>0</v>
      </c>
      <c r="I56">
        <f t="shared" si="2"/>
        <v>1</v>
      </c>
      <c r="J56">
        <v>3485</v>
      </c>
      <c r="K56" t="s">
        <v>17</v>
      </c>
    </row>
    <row r="57" spans="1:11" x14ac:dyDescent="0.45">
      <c r="A57" t="s">
        <v>65</v>
      </c>
      <c r="B57">
        <v>10.09</v>
      </c>
      <c r="C57">
        <v>1.5</v>
      </c>
      <c r="D57">
        <v>42.5</v>
      </c>
      <c r="E57">
        <v>8311</v>
      </c>
      <c r="F57">
        <f t="shared" si="0"/>
        <v>0</v>
      </c>
      <c r="G57" t="s">
        <v>8</v>
      </c>
      <c r="H57">
        <f t="shared" si="1"/>
        <v>0</v>
      </c>
      <c r="I57">
        <f t="shared" si="2"/>
        <v>1</v>
      </c>
      <c r="J57">
        <v>8043</v>
      </c>
      <c r="K57" t="s">
        <v>17</v>
      </c>
    </row>
    <row r="58" spans="1:11" x14ac:dyDescent="0.45">
      <c r="A58" t="s">
        <v>66</v>
      </c>
      <c r="B58">
        <v>8.81</v>
      </c>
      <c r="C58">
        <v>4.28</v>
      </c>
      <c r="D58">
        <v>44.2</v>
      </c>
      <c r="E58">
        <v>8313</v>
      </c>
      <c r="F58">
        <f t="shared" si="0"/>
        <v>0</v>
      </c>
      <c r="G58" t="s">
        <v>8</v>
      </c>
      <c r="H58">
        <f t="shared" si="1"/>
        <v>0</v>
      </c>
      <c r="I58">
        <f t="shared" si="2"/>
        <v>1</v>
      </c>
      <c r="J58">
        <v>6686</v>
      </c>
      <c r="K58" t="s">
        <v>17</v>
      </c>
    </row>
    <row r="59" spans="1:11" x14ac:dyDescent="0.45">
      <c r="A59" t="s">
        <v>67</v>
      </c>
      <c r="B59">
        <v>8.4</v>
      </c>
      <c r="C59">
        <v>2.2999999999999998</v>
      </c>
      <c r="D59">
        <v>35.9</v>
      </c>
      <c r="E59">
        <v>8333</v>
      </c>
      <c r="F59">
        <f t="shared" si="0"/>
        <v>0</v>
      </c>
      <c r="G59" t="s">
        <v>8</v>
      </c>
      <c r="H59">
        <f t="shared" si="1"/>
        <v>0</v>
      </c>
      <c r="I59">
        <f t="shared" si="2"/>
        <v>1</v>
      </c>
      <c r="J59">
        <v>6565</v>
      </c>
      <c r="K59" t="s">
        <v>17</v>
      </c>
    </row>
    <row r="60" spans="1:11" x14ac:dyDescent="0.45">
      <c r="A60" t="s">
        <v>68</v>
      </c>
      <c r="B60">
        <v>7.92</v>
      </c>
      <c r="C60">
        <v>5.17</v>
      </c>
      <c r="D60">
        <v>41.8</v>
      </c>
      <c r="E60">
        <v>8335</v>
      </c>
      <c r="F60">
        <f t="shared" si="0"/>
        <v>0</v>
      </c>
      <c r="G60" t="s">
        <v>8</v>
      </c>
      <c r="H60">
        <f t="shared" si="1"/>
        <v>0</v>
      </c>
      <c r="I60">
        <f t="shared" si="2"/>
        <v>1</v>
      </c>
      <c r="J60">
        <v>6477</v>
      </c>
      <c r="K60" t="s">
        <v>17</v>
      </c>
    </row>
    <row r="61" spans="1:11" x14ac:dyDescent="0.45">
      <c r="A61" t="s">
        <v>69</v>
      </c>
      <c r="B61">
        <v>8.43</v>
      </c>
      <c r="C61">
        <v>13.62</v>
      </c>
      <c r="D61">
        <v>35.9</v>
      </c>
      <c r="E61">
        <v>8513</v>
      </c>
      <c r="F61">
        <f t="shared" si="0"/>
        <v>0</v>
      </c>
      <c r="G61" t="s">
        <v>8</v>
      </c>
      <c r="H61">
        <f t="shared" si="1"/>
        <v>0</v>
      </c>
      <c r="I61">
        <f t="shared" si="2"/>
        <v>1</v>
      </c>
      <c r="J61">
        <v>5811</v>
      </c>
      <c r="K61" t="s">
        <v>17</v>
      </c>
    </row>
    <row r="62" spans="1:11" x14ac:dyDescent="0.45">
      <c r="A62" t="s">
        <v>70</v>
      </c>
      <c r="B62">
        <v>8.7799999999999994</v>
      </c>
      <c r="C62">
        <v>5.78</v>
      </c>
      <c r="D62">
        <v>43.7</v>
      </c>
      <c r="E62">
        <v>8515</v>
      </c>
      <c r="F62">
        <f t="shared" si="0"/>
        <v>0</v>
      </c>
      <c r="G62" t="s">
        <v>8</v>
      </c>
      <c r="H62">
        <f t="shared" si="1"/>
        <v>0</v>
      </c>
      <c r="I62">
        <f t="shared" si="2"/>
        <v>1</v>
      </c>
      <c r="J62">
        <v>6573</v>
      </c>
      <c r="K62" t="s">
        <v>17</v>
      </c>
    </row>
    <row r="63" spans="1:11" x14ac:dyDescent="0.45">
      <c r="A63" t="s">
        <v>71</v>
      </c>
      <c r="B63">
        <v>8.76</v>
      </c>
      <c r="C63">
        <v>74.540000000000006</v>
      </c>
      <c r="D63">
        <v>50.8</v>
      </c>
      <c r="E63">
        <v>8534</v>
      </c>
      <c r="F63">
        <f t="shared" si="0"/>
        <v>0</v>
      </c>
      <c r="G63" t="s">
        <v>8</v>
      </c>
      <c r="H63">
        <f t="shared" si="1"/>
        <v>0</v>
      </c>
      <c r="I63">
        <f t="shared" si="2"/>
        <v>1</v>
      </c>
      <c r="J63">
        <v>3942</v>
      </c>
      <c r="K63" t="s">
        <v>17</v>
      </c>
    </row>
    <row r="64" spans="1:11" x14ac:dyDescent="0.45">
      <c r="A64" t="s">
        <v>72</v>
      </c>
      <c r="B64">
        <v>10.29</v>
      </c>
      <c r="C64">
        <v>2.92</v>
      </c>
      <c r="D64">
        <v>37.200000000000003</v>
      </c>
      <c r="E64">
        <v>8537</v>
      </c>
      <c r="F64">
        <f t="shared" si="0"/>
        <v>0</v>
      </c>
      <c r="G64" t="s">
        <v>8</v>
      </c>
      <c r="H64">
        <f t="shared" si="1"/>
        <v>0</v>
      </c>
      <c r="I64">
        <f t="shared" si="2"/>
        <v>1</v>
      </c>
      <c r="J64">
        <v>5449</v>
      </c>
      <c r="K64" t="s">
        <v>17</v>
      </c>
    </row>
    <row r="65" spans="1:11" x14ac:dyDescent="0.45">
      <c r="A65" t="s">
        <v>73</v>
      </c>
      <c r="B65">
        <v>6.38</v>
      </c>
      <c r="C65">
        <v>90.67</v>
      </c>
      <c r="D65">
        <v>28.2</v>
      </c>
      <c r="E65">
        <v>8563</v>
      </c>
      <c r="F65">
        <f t="shared" si="0"/>
        <v>0</v>
      </c>
      <c r="G65" t="s">
        <v>8</v>
      </c>
      <c r="H65">
        <f t="shared" si="1"/>
        <v>0</v>
      </c>
      <c r="I65">
        <f t="shared" si="2"/>
        <v>1</v>
      </c>
      <c r="J65">
        <v>2847</v>
      </c>
      <c r="K65" t="s">
        <v>17</v>
      </c>
    </row>
    <row r="66" spans="1:11" x14ac:dyDescent="0.45">
      <c r="A66" t="s">
        <v>74</v>
      </c>
      <c r="B66">
        <v>8.1</v>
      </c>
      <c r="C66">
        <v>0.81</v>
      </c>
      <c r="D66">
        <v>38.1</v>
      </c>
      <c r="E66">
        <v>8581</v>
      </c>
      <c r="F66">
        <f t="shared" si="0"/>
        <v>0</v>
      </c>
      <c r="G66" t="s">
        <v>8</v>
      </c>
      <c r="H66">
        <f t="shared" si="1"/>
        <v>0</v>
      </c>
      <c r="I66">
        <f t="shared" si="2"/>
        <v>1</v>
      </c>
      <c r="J66">
        <v>5795</v>
      </c>
      <c r="K66" t="s">
        <v>17</v>
      </c>
    </row>
    <row r="67" spans="1:11" x14ac:dyDescent="0.45">
      <c r="A67" t="s">
        <v>75</v>
      </c>
      <c r="B67">
        <v>10.1</v>
      </c>
      <c r="C67">
        <v>0.78</v>
      </c>
      <c r="D67">
        <v>50.3</v>
      </c>
      <c r="E67">
        <v>8582</v>
      </c>
      <c r="F67">
        <f t="shared" ref="F67:F83" si="3">IF(K66="prof",1,0)</f>
        <v>0</v>
      </c>
      <c r="G67" t="s">
        <v>8</v>
      </c>
      <c r="H67">
        <f t="shared" ref="H67:H83" si="4">IF(K66="wc",1,0)</f>
        <v>0</v>
      </c>
      <c r="I67">
        <f t="shared" ref="I67:I83" si="5">IF(K66="bc",1,0)</f>
        <v>1</v>
      </c>
      <c r="J67">
        <v>7716</v>
      </c>
      <c r="K67" t="s">
        <v>17</v>
      </c>
    </row>
    <row r="68" spans="1:11" x14ac:dyDescent="0.45">
      <c r="A68" t="s">
        <v>76</v>
      </c>
      <c r="B68">
        <v>6.67</v>
      </c>
      <c r="C68">
        <v>0</v>
      </c>
      <c r="D68">
        <v>27.3</v>
      </c>
      <c r="E68">
        <v>8715</v>
      </c>
      <c r="F68">
        <f t="shared" si="3"/>
        <v>0</v>
      </c>
      <c r="G68" t="s">
        <v>8</v>
      </c>
      <c r="H68">
        <f t="shared" si="4"/>
        <v>0</v>
      </c>
      <c r="I68">
        <f t="shared" si="5"/>
        <v>1</v>
      </c>
      <c r="J68">
        <v>4696</v>
      </c>
      <c r="K68" t="s">
        <v>17</v>
      </c>
    </row>
    <row r="69" spans="1:11" x14ac:dyDescent="0.45">
      <c r="A69" t="s">
        <v>77</v>
      </c>
      <c r="B69">
        <v>9.0500000000000007</v>
      </c>
      <c r="C69">
        <v>1.34</v>
      </c>
      <c r="D69">
        <v>40.9</v>
      </c>
      <c r="E69">
        <v>8731</v>
      </c>
      <c r="F69">
        <f t="shared" si="3"/>
        <v>0</v>
      </c>
      <c r="G69" t="s">
        <v>8</v>
      </c>
      <c r="H69">
        <f t="shared" si="4"/>
        <v>0</v>
      </c>
      <c r="I69">
        <f t="shared" si="5"/>
        <v>1</v>
      </c>
      <c r="J69">
        <v>8316</v>
      </c>
      <c r="K69" t="s">
        <v>17</v>
      </c>
    </row>
    <row r="70" spans="1:11" x14ac:dyDescent="0.45">
      <c r="A70" t="s">
        <v>78</v>
      </c>
      <c r="B70">
        <v>9.93</v>
      </c>
      <c r="C70">
        <v>0.99</v>
      </c>
      <c r="D70">
        <v>50.2</v>
      </c>
      <c r="E70">
        <v>8733</v>
      </c>
      <c r="F70">
        <f t="shared" si="3"/>
        <v>0</v>
      </c>
      <c r="G70" t="s">
        <v>8</v>
      </c>
      <c r="H70">
        <f t="shared" si="4"/>
        <v>0</v>
      </c>
      <c r="I70">
        <f t="shared" si="5"/>
        <v>1</v>
      </c>
      <c r="J70">
        <v>7147</v>
      </c>
      <c r="K70" t="s">
        <v>17</v>
      </c>
    </row>
    <row r="71" spans="1:11" x14ac:dyDescent="0.45">
      <c r="A71" t="s">
        <v>79</v>
      </c>
      <c r="B71">
        <v>8.24</v>
      </c>
      <c r="C71">
        <v>0.65</v>
      </c>
      <c r="D71">
        <v>51.1</v>
      </c>
      <c r="E71">
        <v>8780</v>
      </c>
      <c r="F71">
        <f t="shared" si="3"/>
        <v>0</v>
      </c>
      <c r="G71" t="s">
        <v>8</v>
      </c>
      <c r="H71">
        <f t="shared" si="4"/>
        <v>0</v>
      </c>
      <c r="I71">
        <f t="shared" si="5"/>
        <v>1</v>
      </c>
      <c r="J71">
        <v>8880</v>
      </c>
      <c r="K71" t="s">
        <v>17</v>
      </c>
    </row>
    <row r="72" spans="1:11" x14ac:dyDescent="0.45">
      <c r="A72" t="s">
        <v>80</v>
      </c>
      <c r="B72">
        <v>6.92</v>
      </c>
      <c r="C72">
        <v>0.56000000000000005</v>
      </c>
      <c r="D72">
        <v>38.9</v>
      </c>
      <c r="E72">
        <v>8781</v>
      </c>
      <c r="F72">
        <f t="shared" si="3"/>
        <v>0</v>
      </c>
      <c r="G72" t="s">
        <v>8</v>
      </c>
      <c r="H72">
        <f t="shared" si="4"/>
        <v>0</v>
      </c>
      <c r="I72">
        <f t="shared" si="5"/>
        <v>1</v>
      </c>
      <c r="J72">
        <v>5299</v>
      </c>
      <c r="K72" t="s">
        <v>17</v>
      </c>
    </row>
    <row r="73" spans="1:11" x14ac:dyDescent="0.45">
      <c r="A73" t="s">
        <v>81</v>
      </c>
      <c r="B73">
        <v>6.6</v>
      </c>
      <c r="C73">
        <v>0.52</v>
      </c>
      <c r="D73">
        <v>36.200000000000003</v>
      </c>
      <c r="E73">
        <v>8782</v>
      </c>
      <c r="F73">
        <f t="shared" si="3"/>
        <v>0</v>
      </c>
      <c r="G73" t="s">
        <v>8</v>
      </c>
      <c r="H73">
        <f t="shared" si="4"/>
        <v>0</v>
      </c>
      <c r="I73">
        <f t="shared" si="5"/>
        <v>1</v>
      </c>
      <c r="J73">
        <v>5959</v>
      </c>
      <c r="K73" t="s">
        <v>17</v>
      </c>
    </row>
    <row r="74" spans="1:11" x14ac:dyDescent="0.45">
      <c r="A74" t="s">
        <v>82</v>
      </c>
      <c r="B74">
        <v>7.81</v>
      </c>
      <c r="C74">
        <v>2.46</v>
      </c>
      <c r="D74">
        <v>29.9</v>
      </c>
      <c r="E74">
        <v>8785</v>
      </c>
      <c r="F74">
        <f t="shared" si="3"/>
        <v>0</v>
      </c>
      <c r="G74" t="s">
        <v>8</v>
      </c>
      <c r="H74">
        <f t="shared" si="4"/>
        <v>0</v>
      </c>
      <c r="I74">
        <f t="shared" si="5"/>
        <v>1</v>
      </c>
      <c r="J74">
        <v>4549</v>
      </c>
      <c r="K74" t="s">
        <v>17</v>
      </c>
    </row>
    <row r="75" spans="1:11" x14ac:dyDescent="0.45">
      <c r="A75" t="s">
        <v>83</v>
      </c>
      <c r="B75">
        <v>8.33</v>
      </c>
      <c r="C75">
        <v>0.61</v>
      </c>
      <c r="D75">
        <v>42.9</v>
      </c>
      <c r="E75">
        <v>8791</v>
      </c>
      <c r="F75">
        <f t="shared" si="3"/>
        <v>0</v>
      </c>
      <c r="G75" t="s">
        <v>8</v>
      </c>
      <c r="H75">
        <f t="shared" si="4"/>
        <v>0</v>
      </c>
      <c r="I75">
        <f t="shared" si="5"/>
        <v>1</v>
      </c>
      <c r="J75">
        <v>6928</v>
      </c>
      <c r="K75" t="s">
        <v>17</v>
      </c>
    </row>
    <row r="76" spans="1:11" x14ac:dyDescent="0.45">
      <c r="A76" t="s">
        <v>84</v>
      </c>
      <c r="B76">
        <v>7.52</v>
      </c>
      <c r="C76">
        <v>1.0900000000000001</v>
      </c>
      <c r="D76">
        <v>26.5</v>
      </c>
      <c r="E76">
        <v>8798</v>
      </c>
      <c r="F76">
        <f t="shared" si="3"/>
        <v>0</v>
      </c>
      <c r="G76" t="s">
        <v>8</v>
      </c>
      <c r="H76">
        <f t="shared" si="4"/>
        <v>0</v>
      </c>
      <c r="I76">
        <f t="shared" si="5"/>
        <v>1</v>
      </c>
      <c r="J76">
        <v>3910</v>
      </c>
      <c r="K76" t="s">
        <v>17</v>
      </c>
    </row>
    <row r="77" spans="1:11" x14ac:dyDescent="0.45">
      <c r="A77" t="s">
        <v>85</v>
      </c>
      <c r="B77">
        <v>12.27</v>
      </c>
      <c r="C77">
        <v>0.57999999999999996</v>
      </c>
      <c r="D77">
        <v>66.099999999999994</v>
      </c>
      <c r="E77">
        <v>9111</v>
      </c>
      <c r="F77">
        <f t="shared" si="3"/>
        <v>0</v>
      </c>
      <c r="G77" t="s">
        <v>8</v>
      </c>
      <c r="H77">
        <f t="shared" si="4"/>
        <v>0</v>
      </c>
      <c r="I77">
        <f t="shared" si="5"/>
        <v>1</v>
      </c>
      <c r="J77">
        <v>14032</v>
      </c>
      <c r="K77" t="s">
        <v>8</v>
      </c>
    </row>
    <row r="78" spans="1:11" x14ac:dyDescent="0.45">
      <c r="A78" t="s">
        <v>86</v>
      </c>
      <c r="B78">
        <v>8.49</v>
      </c>
      <c r="C78">
        <v>0</v>
      </c>
      <c r="D78">
        <v>48.9</v>
      </c>
      <c r="E78">
        <v>9131</v>
      </c>
      <c r="F78">
        <f t="shared" si="3"/>
        <v>1</v>
      </c>
      <c r="G78" t="s">
        <v>8</v>
      </c>
      <c r="H78">
        <f t="shared" si="4"/>
        <v>0</v>
      </c>
      <c r="I78">
        <f t="shared" si="5"/>
        <v>0</v>
      </c>
      <c r="J78">
        <v>8845</v>
      </c>
      <c r="K78" t="s">
        <v>17</v>
      </c>
    </row>
    <row r="79" spans="1:11" x14ac:dyDescent="0.45">
      <c r="A79" t="s">
        <v>87</v>
      </c>
      <c r="B79">
        <v>7.58</v>
      </c>
      <c r="C79">
        <v>9.4700000000000006</v>
      </c>
      <c r="D79">
        <v>35.9</v>
      </c>
      <c r="E79">
        <v>9171</v>
      </c>
      <c r="F79">
        <f t="shared" si="3"/>
        <v>0</v>
      </c>
      <c r="G79" t="s">
        <v>8</v>
      </c>
      <c r="H79">
        <f t="shared" si="4"/>
        <v>0</v>
      </c>
      <c r="I79">
        <f t="shared" si="5"/>
        <v>1</v>
      </c>
      <c r="J79">
        <v>5562</v>
      </c>
      <c r="K79" t="s">
        <v>17</v>
      </c>
    </row>
    <row r="80" spans="1:11" x14ac:dyDescent="0.45">
      <c r="A80" t="s">
        <v>88</v>
      </c>
      <c r="B80">
        <v>7.93</v>
      </c>
      <c r="C80">
        <v>3.59</v>
      </c>
      <c r="D80">
        <v>25.1</v>
      </c>
      <c r="E80">
        <v>9173</v>
      </c>
      <c r="F80">
        <f t="shared" si="3"/>
        <v>0</v>
      </c>
      <c r="G80" t="s">
        <v>8</v>
      </c>
      <c r="H80">
        <f t="shared" si="4"/>
        <v>0</v>
      </c>
      <c r="I80">
        <f t="shared" si="5"/>
        <v>1</v>
      </c>
      <c r="J80">
        <v>4224</v>
      </c>
      <c r="K80" t="s">
        <v>17</v>
      </c>
    </row>
    <row r="81" spans="1:11" x14ac:dyDescent="0.45">
      <c r="A81" t="s">
        <v>89</v>
      </c>
      <c r="B81">
        <v>8.3699999999999992</v>
      </c>
      <c r="C81">
        <v>0</v>
      </c>
      <c r="D81">
        <v>26.1</v>
      </c>
      <c r="E81">
        <v>9313</v>
      </c>
      <c r="F81">
        <f t="shared" si="3"/>
        <v>0</v>
      </c>
      <c r="G81" t="s">
        <v>8</v>
      </c>
      <c r="H81">
        <f t="shared" si="4"/>
        <v>0</v>
      </c>
      <c r="I81">
        <f t="shared" si="5"/>
        <v>1</v>
      </c>
      <c r="J81">
        <v>4753</v>
      </c>
      <c r="K81" t="s">
        <v>17</v>
      </c>
    </row>
    <row r="82" spans="1:11" x14ac:dyDescent="0.45">
      <c r="A82" t="s">
        <v>90</v>
      </c>
      <c r="B82">
        <v>10</v>
      </c>
      <c r="C82">
        <v>13.58</v>
      </c>
      <c r="D82">
        <v>42.2</v>
      </c>
      <c r="E82">
        <v>9511</v>
      </c>
      <c r="F82">
        <f t="shared" si="3"/>
        <v>0</v>
      </c>
      <c r="G82" t="s">
        <v>8</v>
      </c>
      <c r="H82">
        <f t="shared" si="4"/>
        <v>0</v>
      </c>
      <c r="I82">
        <f t="shared" si="5"/>
        <v>1</v>
      </c>
      <c r="J82">
        <v>6462</v>
      </c>
      <c r="K82" t="s">
        <v>17</v>
      </c>
    </row>
    <row r="83" spans="1:11" x14ac:dyDescent="0.45">
      <c r="A83" t="s">
        <v>91</v>
      </c>
      <c r="B83">
        <v>8.5500000000000007</v>
      </c>
      <c r="C83">
        <v>70.87</v>
      </c>
      <c r="D83">
        <v>35.200000000000003</v>
      </c>
      <c r="E83">
        <v>9517</v>
      </c>
      <c r="F83">
        <f t="shared" si="3"/>
        <v>0</v>
      </c>
      <c r="G83" t="s">
        <v>8</v>
      </c>
      <c r="H83">
        <f t="shared" si="4"/>
        <v>0</v>
      </c>
      <c r="I83">
        <f t="shared" si="5"/>
        <v>1</v>
      </c>
      <c r="J83">
        <v>3617</v>
      </c>
      <c r="K83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 희경</dc:creator>
  <cp:lastModifiedBy>수현 변</cp:lastModifiedBy>
  <dcterms:created xsi:type="dcterms:W3CDTF">2025-08-28T00:14:33Z</dcterms:created>
  <dcterms:modified xsi:type="dcterms:W3CDTF">2026-01-14T06:32:09Z</dcterms:modified>
</cp:coreProperties>
</file>