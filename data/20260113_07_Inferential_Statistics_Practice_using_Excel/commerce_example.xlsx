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uhyeon\Workspace\코드잇_스프린트_DA_13기\7. 엑셀을활용한추론통계실습\"/>
    </mc:Choice>
  </mc:AlternateContent>
  <xr:revisionPtr revIDLastSave="0" documentId="13_ncr:1_{6C2F3F59-76B4-49BA-BE6D-A8C138F87DCA}" xr6:coauthVersionLast="47" xr6:coauthVersionMax="47" xr10:uidLastSave="{00000000-0000-0000-0000-000000000000}"/>
  <bookViews>
    <workbookView xWindow="12710" yWindow="0" windowWidth="12980" windowHeight="15370" firstSheet="1" activeTab="2" xr2:uid="{BF6DBBAA-B111-EE44-8AA7-EB1E7A2B89C5}"/>
  </bookViews>
  <sheets>
    <sheet name="Sheet2" sheetId="2" r:id="rId1"/>
    <sheet name="Sheet3" sheetId="3" r:id="rId2"/>
    <sheet name="Sheet4" sheetId="5" r:id="rId3"/>
    <sheet name="Sheet1" sheetId="1" r:id="rId4"/>
  </sheet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2" i="1"/>
</calcChain>
</file>

<file path=xl/sharedStrings.xml><?xml version="1.0" encoding="utf-8"?>
<sst xmlns="http://schemas.openxmlformats.org/spreadsheetml/2006/main" count="254" uniqueCount="71">
  <si>
    <t>M</t>
  </si>
  <si>
    <t>20대</t>
  </si>
  <si>
    <t>L1</t>
  </si>
  <si>
    <t>티셔츠</t>
  </si>
  <si>
    <t>신규 고객 쿠폰</t>
  </si>
  <si>
    <t>-</t>
  </si>
  <si>
    <t>F</t>
  </si>
  <si>
    <t>30대</t>
  </si>
  <si>
    <t>L2</t>
  </si>
  <si>
    <t>청바지</t>
  </si>
  <si>
    <t>브랜드 쿠폰</t>
  </si>
  <si>
    <t>레깅스</t>
  </si>
  <si>
    <t>가디건</t>
  </si>
  <si>
    <t>40대</t>
  </si>
  <si>
    <t>L3</t>
  </si>
  <si>
    <t>바지</t>
  </si>
  <si>
    <t>즐겨찾기 쿠폰</t>
  </si>
  <si>
    <t>10대</t>
  </si>
  <si>
    <t>L4</t>
  </si>
  <si>
    <t>치마</t>
  </si>
  <si>
    <t>멤버십 쿠폰</t>
  </si>
  <si>
    <t>드레스</t>
  </si>
  <si>
    <t>재킷</t>
  </si>
  <si>
    <t>폴로 셔츠</t>
  </si>
  <si>
    <t>반바지</t>
  </si>
  <si>
    <t>니트</t>
  </si>
  <si>
    <t>점프수트</t>
  </si>
  <si>
    <t>블라우스</t>
  </si>
  <si>
    <t>반팔</t>
  </si>
  <si>
    <t>윈드브레이커</t>
  </si>
  <si>
    <t>코트</t>
  </si>
  <si>
    <t>기타</t>
  </si>
  <si>
    <t>L5</t>
  </si>
  <si>
    <t>숄</t>
  </si>
  <si>
    <t>운동화</t>
  </si>
  <si>
    <t>목도리</t>
  </si>
  <si>
    <t>비니</t>
  </si>
  <si>
    <t>바람막이</t>
  </si>
  <si>
    <t>블레이저</t>
  </si>
  <si>
    <t>샌들</t>
  </si>
  <si>
    <t>치노 팬츠</t>
  </si>
  <si>
    <t>모자</t>
  </si>
  <si>
    <t>데님 재킷</t>
  </si>
  <si>
    <t>겨울 코트</t>
  </si>
  <si>
    <t>양말</t>
  </si>
  <si>
    <t>후드</t>
  </si>
  <si>
    <t>패딩</t>
  </si>
  <si>
    <t>벨트</t>
  </si>
  <si>
    <t>장갑</t>
  </si>
  <si>
    <t>조거 팬츠</t>
  </si>
  <si>
    <t>겨울 모자</t>
  </si>
  <si>
    <t>캡</t>
  </si>
  <si>
    <t>유저ID</t>
    <phoneticPr fontId="1" type="noConversion"/>
  </si>
  <si>
    <t>성별</t>
    <phoneticPr fontId="1" type="noConversion"/>
  </si>
  <si>
    <t>연령대</t>
    <phoneticPr fontId="1" type="noConversion"/>
  </si>
  <si>
    <t>구매일자</t>
    <phoneticPr fontId="1" type="noConversion"/>
  </si>
  <si>
    <t>상품</t>
    <phoneticPr fontId="1" type="noConversion"/>
  </si>
  <si>
    <t>가격</t>
    <phoneticPr fontId="1" type="noConversion"/>
  </si>
  <si>
    <t>수량</t>
    <phoneticPr fontId="1" type="noConversion"/>
  </si>
  <si>
    <t>할인금액</t>
    <phoneticPr fontId="1" type="noConversion"/>
  </si>
  <si>
    <t>쿠폰타입</t>
    <phoneticPr fontId="1" type="noConversion"/>
  </si>
  <si>
    <t>멤버십등급</t>
    <phoneticPr fontId="1" type="noConversion"/>
  </si>
  <si>
    <t>매출</t>
    <phoneticPr fontId="1" type="noConversion"/>
  </si>
  <si>
    <t>행 레이블</t>
  </si>
  <si>
    <t>총합계</t>
  </si>
  <si>
    <t>합계 : 매출</t>
  </si>
  <si>
    <t xml:space="preserve">피벗테이블로 보고싶은 걸 보면 됨. </t>
    <phoneticPr fontId="1" type="noConversion"/>
  </si>
  <si>
    <t>성별</t>
  </si>
  <si>
    <t>연령대</t>
  </si>
  <si>
    <t>드래그해서 넣을 때 순서도 관계있음</t>
    <phoneticPr fontId="1" type="noConversion"/>
  </si>
  <si>
    <t>카테고리별로 열로 표현한 것들을 표현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</si>
</sst>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41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</cellXfs>
  <cellStyles count="1">
    <cellStyle name="표준" xfId="0" builtinId="0"/>
  </cellStyles>
  <dxfs count="37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1" formatCode="0"/>
    </dxf>
    <dxf>
      <numFmt numFmtId="1" formatCode="0"/>
    </dxf>
    <dxf>
      <numFmt numFmtId="181" formatCode="0.0"/>
    </dxf>
    <dxf>
      <numFmt numFmtId="181" formatCode="0.0"/>
    </dxf>
    <dxf>
      <numFmt numFmtId="2" formatCode="0.00"/>
    </dxf>
    <dxf>
      <numFmt numFmtId="2" formatCode="0.00"/>
    </dxf>
    <dxf>
      <numFmt numFmtId="180" formatCode="0.000"/>
    </dxf>
    <dxf>
      <numFmt numFmtId="180" formatCode="0.000"/>
    </dxf>
    <dxf>
      <numFmt numFmtId="176" formatCode="0.0000"/>
    </dxf>
    <dxf>
      <numFmt numFmtId="176" formatCode="0.0000"/>
    </dxf>
    <dxf>
      <numFmt numFmtId="177" formatCode="0.00000"/>
    </dxf>
    <dxf>
      <numFmt numFmtId="177" formatCode="0.00000"/>
    </dxf>
    <dxf>
      <numFmt numFmtId="178" formatCode="0.000000"/>
    </dxf>
    <dxf>
      <numFmt numFmtId="178" formatCode="0.000000"/>
    </dxf>
    <dxf>
      <numFmt numFmtId="179" formatCode="0.0000000"/>
    </dxf>
    <dxf>
      <numFmt numFmtId="179" formatCode="0.0000000"/>
    </dxf>
    <dxf>
      <numFmt numFmtId="178" formatCode="0.000000"/>
    </dxf>
    <dxf>
      <numFmt numFmtId="178" formatCode="0.000000"/>
    </dxf>
    <dxf>
      <numFmt numFmtId="177" formatCode="0.00000"/>
    </dxf>
    <dxf>
      <numFmt numFmtId="177" formatCode="0.00000"/>
    </dxf>
    <dxf>
      <numFmt numFmtId="176" formatCode="0.0000"/>
    </dxf>
    <dxf>
      <numFmt numFmtId="176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[commerce_example.xlsx]Sheet3!피벗 테이블2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연령대별 매출합계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10대</c:v>
                </c:pt>
                <c:pt idx="1">
                  <c:v>20대</c:v>
                </c:pt>
                <c:pt idx="2">
                  <c:v>30대</c:v>
                </c:pt>
                <c:pt idx="3">
                  <c:v>40대</c:v>
                </c:pt>
                <c:pt idx="4">
                  <c:v>기타</c:v>
                </c:pt>
              </c:strCache>
            </c:strRef>
          </c:cat>
          <c:val>
            <c:numRef>
              <c:f>Sheet3!$B$5:$B$10</c:f>
              <c:numCache>
                <c:formatCode>_(* #,##0_);_(* \(#,##0\);_(* "-"_);_(@_)</c:formatCode>
                <c:ptCount val="5"/>
                <c:pt idx="0">
                  <c:v>316100</c:v>
                </c:pt>
                <c:pt idx="1">
                  <c:v>195000</c:v>
                </c:pt>
                <c:pt idx="2">
                  <c:v>298800</c:v>
                </c:pt>
                <c:pt idx="3">
                  <c:v>496200</c:v>
                </c:pt>
                <c:pt idx="4">
                  <c:v>149250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8-4C3D-B30B-291F4F17528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10대</c:v>
                </c:pt>
                <c:pt idx="1">
                  <c:v>20대</c:v>
                </c:pt>
                <c:pt idx="2">
                  <c:v>30대</c:v>
                </c:pt>
                <c:pt idx="3">
                  <c:v>40대</c:v>
                </c:pt>
                <c:pt idx="4">
                  <c:v>기타</c:v>
                </c:pt>
              </c:strCache>
            </c:strRef>
          </c:cat>
          <c:val>
            <c:numRef>
              <c:f>Sheet3!$C$5:$C$10</c:f>
              <c:numCache>
                <c:formatCode>_(* #,##0_);_(* \(#,##0\);_(* "-"_);_(@_)</c:formatCode>
                <c:ptCount val="5"/>
                <c:pt idx="0">
                  <c:v>101100</c:v>
                </c:pt>
                <c:pt idx="1">
                  <c:v>197590</c:v>
                </c:pt>
                <c:pt idx="2">
                  <c:v>239750</c:v>
                </c:pt>
                <c:pt idx="3">
                  <c:v>383400</c:v>
                </c:pt>
                <c:pt idx="4">
                  <c:v>212960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E8-4C3D-B30B-291F4F175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717216"/>
        <c:axId val="1654713376"/>
      </c:barChart>
      <c:catAx>
        <c:axId val="165471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4713376"/>
        <c:crosses val="autoZero"/>
        <c:auto val="1"/>
        <c:lblAlgn val="ctr"/>
        <c:lblOffset val="100"/>
        <c:noMultiLvlLbl val="0"/>
      </c:catAx>
      <c:valAx>
        <c:axId val="16547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5471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[commerce_example.xlsx]Sheet4!피벗 테이블3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일자별 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ln w="190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요약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Sheet4!$A$4:$A$35</c:f>
              <c:strCache>
                <c:ptCount val="31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</c:strCache>
            </c:strRef>
          </c:cat>
          <c:val>
            <c:numRef>
              <c:f>Sheet4!$B$4:$B$35</c:f>
              <c:numCache>
                <c:formatCode>General</c:formatCode>
                <c:ptCount val="31"/>
                <c:pt idx="0">
                  <c:v>21340</c:v>
                </c:pt>
                <c:pt idx="1">
                  <c:v>38000</c:v>
                </c:pt>
                <c:pt idx="2">
                  <c:v>80500</c:v>
                </c:pt>
                <c:pt idx="3">
                  <c:v>83500</c:v>
                </c:pt>
                <c:pt idx="4">
                  <c:v>58200</c:v>
                </c:pt>
                <c:pt idx="5">
                  <c:v>90000</c:v>
                </c:pt>
                <c:pt idx="6">
                  <c:v>133400</c:v>
                </c:pt>
                <c:pt idx="7">
                  <c:v>102000</c:v>
                </c:pt>
                <c:pt idx="8">
                  <c:v>158500</c:v>
                </c:pt>
                <c:pt idx="9">
                  <c:v>75000</c:v>
                </c:pt>
                <c:pt idx="10">
                  <c:v>103200</c:v>
                </c:pt>
                <c:pt idx="11">
                  <c:v>75000</c:v>
                </c:pt>
                <c:pt idx="12">
                  <c:v>134400</c:v>
                </c:pt>
                <c:pt idx="13">
                  <c:v>17460</c:v>
                </c:pt>
                <c:pt idx="14">
                  <c:v>126100</c:v>
                </c:pt>
                <c:pt idx="15">
                  <c:v>19400</c:v>
                </c:pt>
                <c:pt idx="16">
                  <c:v>30000</c:v>
                </c:pt>
                <c:pt idx="17">
                  <c:v>95000</c:v>
                </c:pt>
                <c:pt idx="18">
                  <c:v>160050</c:v>
                </c:pt>
                <c:pt idx="19">
                  <c:v>109750</c:v>
                </c:pt>
                <c:pt idx="20">
                  <c:v>79200</c:v>
                </c:pt>
                <c:pt idx="21">
                  <c:v>78350</c:v>
                </c:pt>
                <c:pt idx="22">
                  <c:v>65000</c:v>
                </c:pt>
                <c:pt idx="23">
                  <c:v>145500</c:v>
                </c:pt>
                <c:pt idx="24">
                  <c:v>10000</c:v>
                </c:pt>
                <c:pt idx="25">
                  <c:v>69400</c:v>
                </c:pt>
                <c:pt idx="26">
                  <c:v>208800</c:v>
                </c:pt>
                <c:pt idx="27">
                  <c:v>24000</c:v>
                </c:pt>
                <c:pt idx="28">
                  <c:v>60000</c:v>
                </c:pt>
                <c:pt idx="29">
                  <c:v>109100</c:v>
                </c:pt>
                <c:pt idx="30">
                  <c:v>30000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EB-4D64-94D0-EE83870BE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3352336"/>
        <c:axId val="1853367216"/>
      </c:lineChart>
      <c:catAx>
        <c:axId val="185335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367216"/>
        <c:crosses val="autoZero"/>
        <c:auto val="1"/>
        <c:lblAlgn val="ctr"/>
        <c:lblOffset val="100"/>
        <c:noMultiLvlLbl val="0"/>
      </c:catAx>
      <c:valAx>
        <c:axId val="185336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335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412749</xdr:colOff>
      <xdr:row>14</xdr:row>
      <xdr:rowOff>0</xdr:rowOff>
    </xdr:from>
    <xdr:to>
      <xdr:col>8</xdr:col>
      <xdr:colOff>238123</xdr:colOff>
      <xdr:row>28</xdr:row>
      <xdr:rowOff>161131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0EA1FB3-F605-FA2A-4725-5EB073098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730256</xdr:colOff>
      <xdr:row>7</xdr:row>
      <xdr:rowOff>209550</xdr:rowOff>
    </xdr:from>
    <xdr:to>
      <xdr:col>9</xdr:col>
      <xdr:colOff>584200</xdr:colOff>
      <xdr:row>21</xdr:row>
      <xdr:rowOff>130175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516778D-47BB-4B6B-279E-ECE241D0C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yeon" refreshedDate="46035.711536921299" createdVersion="8" refreshedVersion="8" minRefreshableVersion="3" recordCount="45" xr:uid="{B4504EDF-9580-4A92-98C8-655821AFE2DF}">
  <cacheSource type="worksheet">
    <worksheetSource ref="A1:K46" sheet="Sheet1"/>
  </cacheSource>
  <cacheFields count="11">
    <cacheField name="유저ID" numFmtId="0">
      <sharedItems containsSemiMixedTypes="0" containsString="0" containsNumber="1" containsInteger="1" minValue="104875" maxValue="982731"/>
    </cacheField>
    <cacheField name="성별" numFmtId="0">
      <sharedItems count="2">
        <s v="M"/>
        <s v="F"/>
      </sharedItems>
    </cacheField>
    <cacheField name="연령대" numFmtId="0">
      <sharedItems count="5">
        <s v="20대"/>
        <s v="30대"/>
        <s v="40대"/>
        <s v="10대"/>
        <s v="기타"/>
      </sharedItems>
    </cacheField>
    <cacheField name="멤버십등급" numFmtId="0">
      <sharedItems/>
    </cacheField>
    <cacheField name="구매일자" numFmtId="14">
      <sharedItems containsSemiMixedTypes="0" containsNonDate="0" containsDate="1" containsString="0" minDate="2025-01-01T00:00:00" maxDate="2025-02-01T00:00:00" count="31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</sharedItems>
    </cacheField>
    <cacheField name="상품" numFmtId="0">
      <sharedItems count="35">
        <s v="티셔츠"/>
        <s v="청바지"/>
        <s v="레깅스"/>
        <s v="가디건"/>
        <s v="바지"/>
        <s v="치마"/>
        <s v="드레스"/>
        <s v="재킷"/>
        <s v="폴로 셔츠"/>
        <s v="반바지"/>
        <s v="니트"/>
        <s v="점프수트"/>
        <s v="블라우스"/>
        <s v="반팔"/>
        <s v="윈드브레이커"/>
        <s v="코트"/>
        <s v="숄"/>
        <s v="운동화"/>
        <s v="목도리"/>
        <s v="비니"/>
        <s v="바람막이"/>
        <s v="블레이저"/>
        <s v="샌들"/>
        <s v="치노 팬츠"/>
        <s v="모자"/>
        <s v="데님 재킷"/>
        <s v="겨울 코트"/>
        <s v="양말"/>
        <s v="후드"/>
        <s v="패딩"/>
        <s v="벨트"/>
        <s v="장갑"/>
        <s v="조거 팬츠"/>
        <s v="겨울 모자"/>
        <s v="캡"/>
      </sharedItems>
    </cacheField>
    <cacheField name="가격" numFmtId="0">
      <sharedItems containsSemiMixedTypes="0" containsString="0" containsNumber="1" containsInteger="1" minValue="2000" maxValue="155000"/>
    </cacheField>
    <cacheField name="수량" numFmtId="0">
      <sharedItems containsSemiMixedTypes="0" containsString="0" containsNumber="1" containsInteger="1" minValue="1" maxValue="5"/>
    </cacheField>
    <cacheField name="할인금액" numFmtId="0">
      <sharedItems containsSemiMixedTypes="0" containsString="0" containsNumber="1" containsInteger="1" minValue="0" maxValue="6200"/>
    </cacheField>
    <cacheField name="쿠폰타입" numFmtId="0">
      <sharedItems/>
    </cacheField>
    <cacheField name="매출" numFmtId="0">
      <sharedItems containsSemiMixedTypes="0" containsString="0" containsNumber="1" containsInteger="1" minValue="10000" maxValue="148800" count="37">
        <n v="21340"/>
        <n v="38000"/>
        <n v="40500"/>
        <n v="40000"/>
        <n v="35000"/>
        <n v="48500"/>
        <n v="58200"/>
        <n v="90000"/>
        <n v="77600"/>
        <n v="55800"/>
        <n v="22800"/>
        <n v="79200"/>
        <n v="60000"/>
        <n v="98500"/>
        <n v="75000"/>
        <n v="45000"/>
        <n v="116400"/>
        <n v="18000"/>
        <n v="17460"/>
        <n v="67900"/>
        <n v="19400"/>
        <n v="30000"/>
        <n v="95000"/>
        <n v="87300"/>
        <n v="72750"/>
        <n v="24250"/>
        <n v="85500"/>
        <n v="29100"/>
        <n v="49250"/>
        <n v="65000"/>
        <n v="145500"/>
        <n v="10000"/>
        <n v="39400"/>
        <n v="148800"/>
        <n v="24000"/>
        <n v="59100"/>
        <n v="5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29374"/>
    <x v="0"/>
    <x v="0"/>
    <s v="L1"/>
    <x v="0"/>
    <x v="0"/>
    <n v="22000"/>
    <n v="1"/>
    <n v="660"/>
    <s v="신규 고객 쿠폰"/>
    <x v="0"/>
  </r>
  <r>
    <n v="120394"/>
    <x v="0"/>
    <x v="0"/>
    <s v="L1"/>
    <x v="1"/>
    <x v="0"/>
    <n v="19000"/>
    <n v="2"/>
    <n v="0"/>
    <s v="-"/>
    <x v="1"/>
  </r>
  <r>
    <n v="485068"/>
    <x v="1"/>
    <x v="1"/>
    <s v="L2"/>
    <x v="2"/>
    <x v="1"/>
    <n v="45000"/>
    <n v="1"/>
    <n v="4500"/>
    <s v="브랜드 쿠폰"/>
    <x v="2"/>
  </r>
  <r>
    <n v="741065"/>
    <x v="1"/>
    <x v="0"/>
    <s v="L1"/>
    <x v="2"/>
    <x v="2"/>
    <n v="20000"/>
    <n v="2"/>
    <n v="0"/>
    <s v="-"/>
    <x v="3"/>
  </r>
  <r>
    <n v="751983"/>
    <x v="1"/>
    <x v="0"/>
    <s v="L1"/>
    <x v="3"/>
    <x v="3"/>
    <n v="35000"/>
    <n v="1"/>
    <n v="0"/>
    <s v="-"/>
    <x v="4"/>
  </r>
  <r>
    <n v="902384"/>
    <x v="0"/>
    <x v="2"/>
    <s v="L3"/>
    <x v="3"/>
    <x v="4"/>
    <n v="50000"/>
    <n v="1"/>
    <n v="1500"/>
    <s v="즐겨찾기 쿠폰"/>
    <x v="5"/>
  </r>
  <r>
    <n v="892374"/>
    <x v="1"/>
    <x v="3"/>
    <s v="L4"/>
    <x v="4"/>
    <x v="5"/>
    <n v="30000"/>
    <n v="2"/>
    <n v="1800"/>
    <s v="멤버십 쿠폰"/>
    <x v="6"/>
  </r>
  <r>
    <n v="625198"/>
    <x v="1"/>
    <x v="3"/>
    <s v="L4"/>
    <x v="5"/>
    <x v="6"/>
    <n v="45000"/>
    <n v="2"/>
    <n v="0"/>
    <s v="-"/>
    <x v="7"/>
  </r>
  <r>
    <n v="137944"/>
    <x v="0"/>
    <x v="2"/>
    <s v="L3"/>
    <x v="6"/>
    <x v="7"/>
    <n v="80000"/>
    <n v="1"/>
    <n v="2400"/>
    <s v="즐겨찾기 쿠폰"/>
    <x v="8"/>
  </r>
  <r>
    <n v="489237"/>
    <x v="0"/>
    <x v="0"/>
    <s v="L1"/>
    <x v="6"/>
    <x v="8"/>
    <n v="30000"/>
    <n v="2"/>
    <n v="4200"/>
    <s v="신규 고객 쿠폰"/>
    <x v="9"/>
  </r>
  <r>
    <n v="290385"/>
    <x v="0"/>
    <x v="1"/>
    <s v="L2"/>
    <x v="7"/>
    <x v="9"/>
    <n v="24000"/>
    <n v="1"/>
    <n v="1200"/>
    <s v="브랜드 쿠폰"/>
    <x v="10"/>
  </r>
  <r>
    <n v="758394"/>
    <x v="1"/>
    <x v="1"/>
    <s v="L2"/>
    <x v="7"/>
    <x v="10"/>
    <n v="40000"/>
    <n v="2"/>
    <n v="800"/>
    <s v="브랜드 쿠폰"/>
    <x v="11"/>
  </r>
  <r>
    <n v="847516"/>
    <x v="1"/>
    <x v="1"/>
    <s v="L2"/>
    <x v="8"/>
    <x v="11"/>
    <n v="60000"/>
    <n v="1"/>
    <n v="0"/>
    <s v="-"/>
    <x v="12"/>
  </r>
  <r>
    <n v="502948"/>
    <x v="1"/>
    <x v="3"/>
    <s v="L4"/>
    <x v="8"/>
    <x v="6"/>
    <n v="50000"/>
    <n v="2"/>
    <n v="1500"/>
    <s v="멤버십 쿠폰"/>
    <x v="13"/>
  </r>
  <r>
    <n v="671025"/>
    <x v="1"/>
    <x v="0"/>
    <s v="L1"/>
    <x v="9"/>
    <x v="12"/>
    <n v="25000"/>
    <n v="3"/>
    <n v="0"/>
    <s v="-"/>
    <x v="14"/>
  </r>
  <r>
    <n v="395712"/>
    <x v="0"/>
    <x v="0"/>
    <s v="L1"/>
    <x v="10"/>
    <x v="8"/>
    <n v="30000"/>
    <n v="2"/>
    <n v="1800"/>
    <s v="신규 고객 쿠폰"/>
    <x v="6"/>
  </r>
  <r>
    <n v="562938"/>
    <x v="1"/>
    <x v="0"/>
    <s v="L1"/>
    <x v="10"/>
    <x v="13"/>
    <n v="15000"/>
    <n v="3"/>
    <n v="0"/>
    <s v="-"/>
    <x v="15"/>
  </r>
  <r>
    <n v="294837"/>
    <x v="0"/>
    <x v="2"/>
    <s v="L3"/>
    <x v="11"/>
    <x v="14"/>
    <n v="75000"/>
    <n v="1"/>
    <n v="0"/>
    <s v="-"/>
    <x v="14"/>
  </r>
  <r>
    <n v="954073"/>
    <x v="1"/>
    <x v="2"/>
    <s v="L3"/>
    <x v="12"/>
    <x v="15"/>
    <n v="120000"/>
    <n v="1"/>
    <n v="3600"/>
    <s v="즐겨찾기 쿠폰"/>
    <x v="16"/>
  </r>
  <r>
    <n v="982731"/>
    <x v="0"/>
    <x v="3"/>
    <s v="L4"/>
    <x v="12"/>
    <x v="0"/>
    <n v="18000"/>
    <n v="1"/>
    <n v="0"/>
    <s v="-"/>
    <x v="17"/>
  </r>
  <r>
    <n v="396281"/>
    <x v="0"/>
    <x v="4"/>
    <s v="L5"/>
    <x v="13"/>
    <x v="16"/>
    <n v="18000"/>
    <n v="1"/>
    <n v="540"/>
    <s v="멤버십 쿠폰"/>
    <x v="18"/>
  </r>
  <r>
    <n v="104875"/>
    <x v="0"/>
    <x v="4"/>
    <s v="L5"/>
    <x v="14"/>
    <x v="17"/>
    <n v="70000"/>
    <n v="1"/>
    <n v="2100"/>
    <s v="멤버십 쿠폰"/>
    <x v="19"/>
  </r>
  <r>
    <n v="193847"/>
    <x v="0"/>
    <x v="4"/>
    <s v="L5"/>
    <x v="14"/>
    <x v="17"/>
    <n v="60000"/>
    <n v="1"/>
    <n v="1800"/>
    <s v="멤버십 쿠폰"/>
    <x v="6"/>
  </r>
  <r>
    <n v="402176"/>
    <x v="0"/>
    <x v="4"/>
    <s v="L5"/>
    <x v="15"/>
    <x v="18"/>
    <n v="20000"/>
    <n v="1"/>
    <n v="600"/>
    <s v="멤버십 쿠폰"/>
    <x v="20"/>
  </r>
  <r>
    <n v="605738"/>
    <x v="0"/>
    <x v="3"/>
    <s v="L4"/>
    <x v="16"/>
    <x v="19"/>
    <n v="10000"/>
    <n v="3"/>
    <n v="0"/>
    <s v="-"/>
    <x v="21"/>
  </r>
  <r>
    <n v="827395"/>
    <x v="0"/>
    <x v="2"/>
    <s v="L3"/>
    <x v="17"/>
    <x v="20"/>
    <n v="95000"/>
    <n v="1"/>
    <n v="0"/>
    <s v="-"/>
    <x v="22"/>
  </r>
  <r>
    <n v="327489"/>
    <x v="0"/>
    <x v="2"/>
    <s v="L3"/>
    <x v="18"/>
    <x v="21"/>
    <n v="90000"/>
    <n v="1"/>
    <n v="2700"/>
    <s v="즐겨찾기 쿠폰"/>
    <x v="23"/>
  </r>
  <r>
    <n v="827394"/>
    <x v="0"/>
    <x v="1"/>
    <s v="L2"/>
    <x v="18"/>
    <x v="7"/>
    <n v="75000"/>
    <n v="1"/>
    <n v="2250"/>
    <s v="브랜드 쿠폰"/>
    <x v="24"/>
  </r>
  <r>
    <n v="478126"/>
    <x v="0"/>
    <x v="0"/>
    <s v="L1"/>
    <x v="19"/>
    <x v="22"/>
    <n v="25000"/>
    <n v="1"/>
    <n v="750"/>
    <s v="신규 고객 쿠폰"/>
    <x v="25"/>
  </r>
  <r>
    <n v="182349"/>
    <x v="1"/>
    <x v="2"/>
    <s v="L3"/>
    <x v="19"/>
    <x v="1"/>
    <n v="45000"/>
    <n v="2"/>
    <n v="4500"/>
    <s v="즐겨찾기 쿠폰"/>
    <x v="26"/>
  </r>
  <r>
    <n v="813490"/>
    <x v="0"/>
    <x v="1"/>
    <s v="L2"/>
    <x v="20"/>
    <x v="23"/>
    <n v="40000"/>
    <n v="2"/>
    <n v="800"/>
    <s v="브랜드 쿠폰"/>
    <x v="11"/>
  </r>
  <r>
    <n v="385019"/>
    <x v="0"/>
    <x v="3"/>
    <s v="L4"/>
    <x v="21"/>
    <x v="24"/>
    <n v="15000"/>
    <n v="2"/>
    <n v="900"/>
    <s v="멤버십 쿠폰"/>
    <x v="27"/>
  </r>
  <r>
    <n v="658349"/>
    <x v="1"/>
    <x v="4"/>
    <s v="L5"/>
    <x v="21"/>
    <x v="18"/>
    <n v="25000"/>
    <n v="2"/>
    <n v="750"/>
    <s v="멤버십 쿠폰"/>
    <x v="28"/>
  </r>
  <r>
    <n v="817259"/>
    <x v="0"/>
    <x v="1"/>
    <s v="L2"/>
    <x v="22"/>
    <x v="25"/>
    <n v="65000"/>
    <n v="1"/>
    <n v="0"/>
    <s v="-"/>
    <x v="29"/>
  </r>
  <r>
    <n v="534827"/>
    <x v="1"/>
    <x v="2"/>
    <s v="L3"/>
    <x v="23"/>
    <x v="26"/>
    <n v="150000"/>
    <n v="1"/>
    <n v="4500"/>
    <s v="즐겨찾기 쿠폰"/>
    <x v="30"/>
  </r>
  <r>
    <n v="875349"/>
    <x v="1"/>
    <x v="4"/>
    <s v="L5"/>
    <x v="24"/>
    <x v="27"/>
    <n v="2000"/>
    <n v="5"/>
    <n v="0"/>
    <s v="-"/>
    <x v="31"/>
  </r>
  <r>
    <n v="847159"/>
    <x v="1"/>
    <x v="3"/>
    <s v="L4"/>
    <x v="25"/>
    <x v="12"/>
    <n v="20000"/>
    <n v="2"/>
    <n v="600"/>
    <s v="멤버십 쿠폰"/>
    <x v="32"/>
  </r>
  <r>
    <n v="319482"/>
    <x v="1"/>
    <x v="3"/>
    <s v="L4"/>
    <x v="25"/>
    <x v="28"/>
    <n v="30000"/>
    <n v="1"/>
    <n v="0"/>
    <s v="-"/>
    <x v="21"/>
  </r>
  <r>
    <n v="209385"/>
    <x v="1"/>
    <x v="2"/>
    <s v="L3"/>
    <x v="26"/>
    <x v="29"/>
    <n v="155000"/>
    <n v="1"/>
    <n v="6200"/>
    <s v="즐겨찾기 쿠폰"/>
    <x v="33"/>
  </r>
  <r>
    <n v="758493"/>
    <x v="1"/>
    <x v="1"/>
    <s v="L2"/>
    <x v="26"/>
    <x v="5"/>
    <n v="20000"/>
    <n v="3"/>
    <n v="0"/>
    <s v="-"/>
    <x v="12"/>
  </r>
  <r>
    <n v="623910"/>
    <x v="0"/>
    <x v="3"/>
    <s v="L4"/>
    <x v="27"/>
    <x v="30"/>
    <n v="12000"/>
    <n v="2"/>
    <n v="0"/>
    <s v="-"/>
    <x v="34"/>
  </r>
  <r>
    <n v="948576"/>
    <x v="1"/>
    <x v="4"/>
    <s v="L5"/>
    <x v="28"/>
    <x v="31"/>
    <n v="15000"/>
    <n v="4"/>
    <n v="0"/>
    <s v="-"/>
    <x v="12"/>
  </r>
  <r>
    <n v="685429"/>
    <x v="1"/>
    <x v="1"/>
    <s v="L2"/>
    <x v="29"/>
    <x v="32"/>
    <n v="30000"/>
    <n v="2"/>
    <n v="900"/>
    <s v="브랜드 쿠폰"/>
    <x v="35"/>
  </r>
  <r>
    <n v="754839"/>
    <x v="0"/>
    <x v="4"/>
    <s v="L5"/>
    <x v="29"/>
    <x v="33"/>
    <n v="25000"/>
    <n v="2"/>
    <n v="0"/>
    <s v="-"/>
    <x v="36"/>
  </r>
  <r>
    <n v="908374"/>
    <x v="1"/>
    <x v="4"/>
    <s v="L5"/>
    <x v="30"/>
    <x v="34"/>
    <n v="10000"/>
    <n v="3"/>
    <n v="0"/>
    <s v="-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8C392-D06D-4FEC-835E-4A5103FC25AF}" name="피벗 테이블1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7677A-6666-457F-8D06-E504150E4E0C}" name="피벗 테이블2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 chartFormat="4">
  <location ref="A3:D10" firstHeaderRow="1" firstDataRow="2" firstDataCol="1"/>
  <pivotFields count="11"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numFmtId="14" outline="0" showAll="0"/>
    <pivotField compact="0" outline="0" showAll="0">
      <items count="36">
        <item x="3"/>
        <item x="33"/>
        <item x="26"/>
        <item x="10"/>
        <item x="25"/>
        <item x="6"/>
        <item x="2"/>
        <item x="24"/>
        <item x="18"/>
        <item x="20"/>
        <item x="4"/>
        <item x="9"/>
        <item x="13"/>
        <item x="30"/>
        <item x="12"/>
        <item x="21"/>
        <item x="19"/>
        <item x="22"/>
        <item x="16"/>
        <item x="27"/>
        <item x="17"/>
        <item x="14"/>
        <item x="31"/>
        <item x="7"/>
        <item x="11"/>
        <item x="32"/>
        <item x="1"/>
        <item x="23"/>
        <item x="5"/>
        <item x="34"/>
        <item x="15"/>
        <item x="0"/>
        <item x="29"/>
        <item x="8"/>
        <item x="2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8">
        <item x="31"/>
        <item x="18"/>
        <item x="17"/>
        <item x="20"/>
        <item x="0"/>
        <item x="10"/>
        <item x="34"/>
        <item x="25"/>
        <item x="27"/>
        <item x="21"/>
        <item x="4"/>
        <item x="1"/>
        <item x="32"/>
        <item x="3"/>
        <item x="2"/>
        <item x="15"/>
        <item x="5"/>
        <item x="28"/>
        <item x="36"/>
        <item x="9"/>
        <item x="6"/>
        <item x="35"/>
        <item x="12"/>
        <item x="29"/>
        <item x="19"/>
        <item x="24"/>
        <item x="14"/>
        <item x="8"/>
        <item x="11"/>
        <item x="26"/>
        <item x="23"/>
        <item x="7"/>
        <item x="22"/>
        <item x="13"/>
        <item x="16"/>
        <item x="30"/>
        <item x="3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합계 : 매출" fld="10" baseField="0" baseItem="0" numFmtId="41"/>
  </dataFields>
  <formats count="1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20DB0-FEB1-4BDF-9AE9-2DF9AAAE38B7}" name="피벗 테이블3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chartFormat="2">
  <location ref="A3:B35" firstHeaderRow="1" firstDataRow="1" firstDataCol="1"/>
  <pivotFields count="11">
    <pivotField showAll="0"/>
    <pivotField showAll="0"/>
    <pivotField showAll="0"/>
    <pivotField showAll="0"/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합계 : 매출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0EAF-1E85-4BD2-B8A9-551202A05594}">
  <dimension ref="A3:C20"/>
  <sheetViews>
    <sheetView workbookViewId="0">
      <selection activeCell="A3" sqref="A3"/>
    </sheetView>
  </sheetViews>
  <sheetFormatPr defaultRowHeight="17.5" x14ac:dyDescent="0.45"/>
  <sheetData>
    <row r="3" spans="1:3" x14ac:dyDescent="0.45">
      <c r="A3" s="2"/>
      <c r="B3" s="3"/>
      <c r="C3" s="4"/>
    </row>
    <row r="4" spans="1:3" x14ac:dyDescent="0.45">
      <c r="A4" s="5"/>
      <c r="B4" s="6"/>
      <c r="C4" s="7"/>
    </row>
    <row r="5" spans="1:3" x14ac:dyDescent="0.45">
      <c r="A5" s="5"/>
      <c r="B5" s="6"/>
      <c r="C5" s="7"/>
    </row>
    <row r="6" spans="1:3" x14ac:dyDescent="0.45">
      <c r="A6" s="5"/>
      <c r="B6" s="6"/>
      <c r="C6" s="7"/>
    </row>
    <row r="7" spans="1:3" x14ac:dyDescent="0.45">
      <c r="A7" s="5"/>
      <c r="B7" s="6"/>
      <c r="C7" s="7"/>
    </row>
    <row r="8" spans="1:3" x14ac:dyDescent="0.45">
      <c r="A8" s="5"/>
      <c r="B8" s="6"/>
      <c r="C8" s="7"/>
    </row>
    <row r="9" spans="1:3" x14ac:dyDescent="0.45">
      <c r="A9" s="5"/>
      <c r="B9" s="6"/>
      <c r="C9" s="7"/>
    </row>
    <row r="10" spans="1:3" x14ac:dyDescent="0.45">
      <c r="A10" s="5"/>
      <c r="B10" s="6"/>
      <c r="C10" s="7"/>
    </row>
    <row r="11" spans="1:3" x14ac:dyDescent="0.45">
      <c r="A11" s="5"/>
      <c r="B11" s="6"/>
      <c r="C11" s="7"/>
    </row>
    <row r="12" spans="1:3" x14ac:dyDescent="0.45">
      <c r="A12" s="5"/>
      <c r="B12" s="6"/>
      <c r="C12" s="7"/>
    </row>
    <row r="13" spans="1:3" x14ac:dyDescent="0.45">
      <c r="A13" s="5"/>
      <c r="B13" s="6"/>
      <c r="C13" s="7"/>
    </row>
    <row r="14" spans="1:3" x14ac:dyDescent="0.45">
      <c r="A14" s="5"/>
      <c r="B14" s="6"/>
      <c r="C14" s="7"/>
    </row>
    <row r="15" spans="1:3" x14ac:dyDescent="0.45">
      <c r="A15" s="5"/>
      <c r="B15" s="6"/>
      <c r="C15" s="7"/>
    </row>
    <row r="16" spans="1:3" x14ac:dyDescent="0.45">
      <c r="A16" s="5"/>
      <c r="B16" s="6"/>
      <c r="C16" s="7"/>
    </row>
    <row r="17" spans="1:3" x14ac:dyDescent="0.45">
      <c r="A17" s="5"/>
      <c r="B17" s="6"/>
      <c r="C17" s="7"/>
    </row>
    <row r="18" spans="1:3" x14ac:dyDescent="0.45">
      <c r="A18" s="5"/>
      <c r="B18" s="6"/>
      <c r="C18" s="7"/>
    </row>
    <row r="19" spans="1:3" x14ac:dyDescent="0.45">
      <c r="A19" s="5"/>
      <c r="B19" s="6"/>
      <c r="C19" s="7"/>
    </row>
    <row r="20" spans="1:3" x14ac:dyDescent="0.45">
      <c r="A20" s="8"/>
      <c r="B20" s="9"/>
      <c r="C20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B4D4-DFD3-4F48-A245-0420A7817118}">
  <dimension ref="A1:D13"/>
  <sheetViews>
    <sheetView zoomScale="80" workbookViewId="0">
      <selection activeCell="D38" sqref="D38"/>
    </sheetView>
  </sheetViews>
  <sheetFormatPr defaultRowHeight="17.5" x14ac:dyDescent="0.45"/>
  <cols>
    <col min="1" max="1" width="10.53515625" bestFit="1" customWidth="1"/>
    <col min="2" max="4" width="11.4609375" bestFit="1" customWidth="1"/>
    <col min="5" max="21" width="6.61328125" bestFit="1" customWidth="1"/>
    <col min="22" max="22" width="7.69140625" bestFit="1" customWidth="1"/>
    <col min="23" max="23" width="6.61328125" bestFit="1" customWidth="1"/>
    <col min="24" max="24" width="7.69140625" bestFit="1" customWidth="1"/>
    <col min="25" max="27" width="6.61328125" bestFit="1" customWidth="1"/>
    <col min="28" max="28" width="7.69140625" bestFit="1" customWidth="1"/>
    <col min="29" max="29" width="6.61328125" bestFit="1" customWidth="1"/>
    <col min="30" max="30" width="7.69140625" bestFit="1" customWidth="1"/>
    <col min="31" max="35" width="6.61328125" bestFit="1" customWidth="1"/>
    <col min="36" max="38" width="7.69140625" bestFit="1" customWidth="1"/>
    <col min="39" max="39" width="8.765625" bestFit="1" customWidth="1"/>
    <col min="40" max="47" width="6.61328125" bestFit="1" customWidth="1"/>
    <col min="48" max="48" width="9.3046875" bestFit="1" customWidth="1"/>
    <col min="49" max="49" width="8.765625" bestFit="1" customWidth="1"/>
  </cols>
  <sheetData>
    <row r="1" spans="1:4" x14ac:dyDescent="0.45">
      <c r="D1" t="s">
        <v>69</v>
      </c>
    </row>
    <row r="2" spans="1:4" x14ac:dyDescent="0.45">
      <c r="D2" t="s">
        <v>66</v>
      </c>
    </row>
    <row r="3" spans="1:4" x14ac:dyDescent="0.45">
      <c r="A3" s="11" t="s">
        <v>65</v>
      </c>
      <c r="B3" s="11" t="s">
        <v>67</v>
      </c>
    </row>
    <row r="4" spans="1:4" x14ac:dyDescent="0.45">
      <c r="A4" s="11" t="s">
        <v>68</v>
      </c>
      <c r="B4" t="s">
        <v>6</v>
      </c>
      <c r="C4" t="s">
        <v>0</v>
      </c>
      <c r="D4" t="s">
        <v>64</v>
      </c>
    </row>
    <row r="5" spans="1:4" x14ac:dyDescent="0.45">
      <c r="A5" t="s">
        <v>17</v>
      </c>
      <c r="B5" s="13">
        <v>316100</v>
      </c>
      <c r="C5" s="13">
        <v>101100</v>
      </c>
      <c r="D5" s="13">
        <v>417200</v>
      </c>
    </row>
    <row r="6" spans="1:4" x14ac:dyDescent="0.45">
      <c r="A6" t="s">
        <v>1</v>
      </c>
      <c r="B6" s="13">
        <v>195000</v>
      </c>
      <c r="C6" s="13">
        <v>197590</v>
      </c>
      <c r="D6" s="13">
        <v>392590</v>
      </c>
    </row>
    <row r="7" spans="1:4" x14ac:dyDescent="0.45">
      <c r="A7" t="s">
        <v>7</v>
      </c>
      <c r="B7" s="13">
        <v>298800</v>
      </c>
      <c r="C7" s="13">
        <v>239750</v>
      </c>
      <c r="D7" s="13">
        <v>538550</v>
      </c>
    </row>
    <row r="8" spans="1:4" x14ac:dyDescent="0.45">
      <c r="A8" t="s">
        <v>13</v>
      </c>
      <c r="B8" s="13">
        <v>496200</v>
      </c>
      <c r="C8" s="13">
        <v>383400</v>
      </c>
      <c r="D8" s="13">
        <v>879600</v>
      </c>
    </row>
    <row r="9" spans="1:4" x14ac:dyDescent="0.45">
      <c r="A9" t="s">
        <v>31</v>
      </c>
      <c r="B9" s="13">
        <v>149250</v>
      </c>
      <c r="C9" s="13">
        <v>212960</v>
      </c>
      <c r="D9" s="13">
        <v>362210</v>
      </c>
    </row>
    <row r="10" spans="1:4" x14ac:dyDescent="0.45">
      <c r="A10" t="s">
        <v>64</v>
      </c>
      <c r="B10" s="13">
        <v>1455350</v>
      </c>
      <c r="C10" s="13">
        <v>1134800</v>
      </c>
      <c r="D10" s="13">
        <v>2590150</v>
      </c>
    </row>
    <row r="13" spans="1:4" x14ac:dyDescent="0.45">
      <c r="D13" t="s">
        <v>70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E6B0-FD77-4F86-911E-A9C4E9837489}">
  <dimension ref="A3:B35"/>
  <sheetViews>
    <sheetView tabSelected="1" workbookViewId="0">
      <selection activeCell="F24" sqref="F24"/>
    </sheetView>
  </sheetViews>
  <sheetFormatPr defaultRowHeight="17.5" x14ac:dyDescent="0.45"/>
  <cols>
    <col min="1" max="1" width="11.15234375" bestFit="1" customWidth="1"/>
    <col min="2" max="2" width="10.3046875" bestFit="1" customWidth="1"/>
  </cols>
  <sheetData>
    <row r="3" spans="1:2" x14ac:dyDescent="0.45">
      <c r="A3" s="11" t="s">
        <v>63</v>
      </c>
      <c r="B3" t="s">
        <v>65</v>
      </c>
    </row>
    <row r="4" spans="1:2" x14ac:dyDescent="0.45">
      <c r="A4" s="14">
        <v>45658</v>
      </c>
      <c r="B4" s="12">
        <v>21340</v>
      </c>
    </row>
    <row r="5" spans="1:2" x14ac:dyDescent="0.45">
      <c r="A5" s="14">
        <v>45659</v>
      </c>
      <c r="B5" s="12">
        <v>38000</v>
      </c>
    </row>
    <row r="6" spans="1:2" x14ac:dyDescent="0.45">
      <c r="A6" s="14">
        <v>45660</v>
      </c>
      <c r="B6" s="12">
        <v>80500</v>
      </c>
    </row>
    <row r="7" spans="1:2" x14ac:dyDescent="0.45">
      <c r="A7" s="14">
        <v>45661</v>
      </c>
      <c r="B7" s="12">
        <v>83500</v>
      </c>
    </row>
    <row r="8" spans="1:2" x14ac:dyDescent="0.45">
      <c r="A8" s="14">
        <v>45662</v>
      </c>
      <c r="B8" s="12">
        <v>58200</v>
      </c>
    </row>
    <row r="9" spans="1:2" x14ac:dyDescent="0.45">
      <c r="A9" s="14">
        <v>45663</v>
      </c>
      <c r="B9" s="12">
        <v>90000</v>
      </c>
    </row>
    <row r="10" spans="1:2" x14ac:dyDescent="0.45">
      <c r="A10" s="14">
        <v>45664</v>
      </c>
      <c r="B10" s="12">
        <v>133400</v>
      </c>
    </row>
    <row r="11" spans="1:2" x14ac:dyDescent="0.45">
      <c r="A11" s="14">
        <v>45665</v>
      </c>
      <c r="B11" s="12">
        <v>102000</v>
      </c>
    </row>
    <row r="12" spans="1:2" x14ac:dyDescent="0.45">
      <c r="A12" s="14">
        <v>45666</v>
      </c>
      <c r="B12" s="12">
        <v>158500</v>
      </c>
    </row>
    <row r="13" spans="1:2" x14ac:dyDescent="0.45">
      <c r="A13" s="14">
        <v>45667</v>
      </c>
      <c r="B13" s="12">
        <v>75000</v>
      </c>
    </row>
    <row r="14" spans="1:2" x14ac:dyDescent="0.45">
      <c r="A14" s="14">
        <v>45668</v>
      </c>
      <c r="B14" s="12">
        <v>103200</v>
      </c>
    </row>
    <row r="15" spans="1:2" x14ac:dyDescent="0.45">
      <c r="A15" s="14">
        <v>45669</v>
      </c>
      <c r="B15" s="12">
        <v>75000</v>
      </c>
    </row>
    <row r="16" spans="1:2" x14ac:dyDescent="0.45">
      <c r="A16" s="14">
        <v>45670</v>
      </c>
      <c r="B16" s="12">
        <v>134400</v>
      </c>
    </row>
    <row r="17" spans="1:2" x14ac:dyDescent="0.45">
      <c r="A17" s="14">
        <v>45671</v>
      </c>
      <c r="B17" s="12">
        <v>17460</v>
      </c>
    </row>
    <row r="18" spans="1:2" x14ac:dyDescent="0.45">
      <c r="A18" s="14">
        <v>45672</v>
      </c>
      <c r="B18" s="12">
        <v>126100</v>
      </c>
    </row>
    <row r="19" spans="1:2" x14ac:dyDescent="0.45">
      <c r="A19" s="14">
        <v>45673</v>
      </c>
      <c r="B19" s="12">
        <v>19400</v>
      </c>
    </row>
    <row r="20" spans="1:2" x14ac:dyDescent="0.45">
      <c r="A20" s="14">
        <v>45674</v>
      </c>
      <c r="B20" s="12">
        <v>30000</v>
      </c>
    </row>
    <row r="21" spans="1:2" x14ac:dyDescent="0.45">
      <c r="A21" s="14">
        <v>45675</v>
      </c>
      <c r="B21" s="12">
        <v>95000</v>
      </c>
    </row>
    <row r="22" spans="1:2" x14ac:dyDescent="0.45">
      <c r="A22" s="14">
        <v>45676</v>
      </c>
      <c r="B22" s="12">
        <v>160050</v>
      </c>
    </row>
    <row r="23" spans="1:2" x14ac:dyDescent="0.45">
      <c r="A23" s="14">
        <v>45677</v>
      </c>
      <c r="B23" s="12">
        <v>109750</v>
      </c>
    </row>
    <row r="24" spans="1:2" x14ac:dyDescent="0.45">
      <c r="A24" s="14">
        <v>45678</v>
      </c>
      <c r="B24" s="12">
        <v>79200</v>
      </c>
    </row>
    <row r="25" spans="1:2" x14ac:dyDescent="0.45">
      <c r="A25" s="14">
        <v>45679</v>
      </c>
      <c r="B25" s="12">
        <v>78350</v>
      </c>
    </row>
    <row r="26" spans="1:2" x14ac:dyDescent="0.45">
      <c r="A26" s="14">
        <v>45680</v>
      </c>
      <c r="B26" s="12">
        <v>65000</v>
      </c>
    </row>
    <row r="27" spans="1:2" x14ac:dyDescent="0.45">
      <c r="A27" s="14">
        <v>45681</v>
      </c>
      <c r="B27" s="12">
        <v>145500</v>
      </c>
    </row>
    <row r="28" spans="1:2" x14ac:dyDescent="0.45">
      <c r="A28" s="14">
        <v>45682</v>
      </c>
      <c r="B28" s="12">
        <v>10000</v>
      </c>
    </row>
    <row r="29" spans="1:2" x14ac:dyDescent="0.45">
      <c r="A29" s="14">
        <v>45683</v>
      </c>
      <c r="B29" s="12">
        <v>69400</v>
      </c>
    </row>
    <row r="30" spans="1:2" x14ac:dyDescent="0.45">
      <c r="A30" s="14">
        <v>45684</v>
      </c>
      <c r="B30" s="12">
        <v>208800</v>
      </c>
    </row>
    <row r="31" spans="1:2" x14ac:dyDescent="0.45">
      <c r="A31" s="14">
        <v>45685</v>
      </c>
      <c r="B31" s="12">
        <v>24000</v>
      </c>
    </row>
    <row r="32" spans="1:2" x14ac:dyDescent="0.45">
      <c r="A32" s="14">
        <v>45686</v>
      </c>
      <c r="B32" s="12">
        <v>60000</v>
      </c>
    </row>
    <row r="33" spans="1:2" x14ac:dyDescent="0.45">
      <c r="A33" s="14">
        <v>45687</v>
      </c>
      <c r="B33" s="12">
        <v>109100</v>
      </c>
    </row>
    <row r="34" spans="1:2" x14ac:dyDescent="0.45">
      <c r="A34" s="14">
        <v>45688</v>
      </c>
      <c r="B34" s="12">
        <v>30000</v>
      </c>
    </row>
    <row r="35" spans="1:2" x14ac:dyDescent="0.45">
      <c r="A35" s="14" t="s">
        <v>64</v>
      </c>
      <c r="B35" s="12">
        <v>2590150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6F56-6533-DD4C-A551-43CAC5921B09}">
  <dimension ref="A1:K46"/>
  <sheetViews>
    <sheetView zoomScale="86" zoomScaleNormal="120" workbookViewId="0">
      <selection activeCell="E1" sqref="E1"/>
    </sheetView>
  </sheetViews>
  <sheetFormatPr defaultColWidth="11.07421875" defaultRowHeight="17.5" x14ac:dyDescent="0.45"/>
  <cols>
    <col min="10" max="10" width="13.3046875" bestFit="1" customWidth="1"/>
  </cols>
  <sheetData>
    <row r="1" spans="1:11" x14ac:dyDescent="0.45">
      <c r="A1" t="s">
        <v>52</v>
      </c>
      <c r="B1" t="s">
        <v>53</v>
      </c>
      <c r="C1" t="s">
        <v>54</v>
      </c>
      <c r="D1" t="s">
        <v>61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62</v>
      </c>
    </row>
    <row r="2" spans="1:11" x14ac:dyDescent="0.45">
      <c r="A2">
        <v>129374</v>
      </c>
      <c r="B2" t="s">
        <v>0</v>
      </c>
      <c r="C2" t="s">
        <v>1</v>
      </c>
      <c r="D2" t="s">
        <v>2</v>
      </c>
      <c r="E2" s="1">
        <v>45658</v>
      </c>
      <c r="F2" t="s">
        <v>3</v>
      </c>
      <c r="G2">
        <v>22000</v>
      </c>
      <c r="H2">
        <v>1</v>
      </c>
      <c r="I2">
        <v>660</v>
      </c>
      <c r="J2" t="s">
        <v>4</v>
      </c>
      <c r="K2">
        <f>G2*H2-I2</f>
        <v>21340</v>
      </c>
    </row>
    <row r="3" spans="1:11" x14ac:dyDescent="0.45">
      <c r="A3">
        <v>120394</v>
      </c>
      <c r="B3" t="s">
        <v>0</v>
      </c>
      <c r="C3" t="s">
        <v>1</v>
      </c>
      <c r="D3" t="s">
        <v>2</v>
      </c>
      <c r="E3" s="1">
        <v>45659</v>
      </c>
      <c r="F3" t="s">
        <v>3</v>
      </c>
      <c r="G3">
        <v>19000</v>
      </c>
      <c r="H3">
        <v>2</v>
      </c>
      <c r="I3">
        <v>0</v>
      </c>
      <c r="J3" t="s">
        <v>5</v>
      </c>
      <c r="K3">
        <f t="shared" ref="K3:K46" si="0">G3*H3-I3</f>
        <v>38000</v>
      </c>
    </row>
    <row r="4" spans="1:11" x14ac:dyDescent="0.45">
      <c r="A4">
        <v>485068</v>
      </c>
      <c r="B4" t="s">
        <v>6</v>
      </c>
      <c r="C4" t="s">
        <v>7</v>
      </c>
      <c r="D4" t="s">
        <v>8</v>
      </c>
      <c r="E4" s="1">
        <v>45660</v>
      </c>
      <c r="F4" t="s">
        <v>9</v>
      </c>
      <c r="G4">
        <v>45000</v>
      </c>
      <c r="H4">
        <v>1</v>
      </c>
      <c r="I4">
        <v>4500</v>
      </c>
      <c r="J4" t="s">
        <v>10</v>
      </c>
      <c r="K4">
        <f t="shared" si="0"/>
        <v>40500</v>
      </c>
    </row>
    <row r="5" spans="1:11" x14ac:dyDescent="0.45">
      <c r="A5">
        <v>741065</v>
      </c>
      <c r="B5" t="s">
        <v>6</v>
      </c>
      <c r="C5" t="s">
        <v>1</v>
      </c>
      <c r="D5" t="s">
        <v>2</v>
      </c>
      <c r="E5" s="1">
        <v>45660</v>
      </c>
      <c r="F5" t="s">
        <v>11</v>
      </c>
      <c r="G5">
        <v>20000</v>
      </c>
      <c r="H5">
        <v>2</v>
      </c>
      <c r="I5">
        <v>0</v>
      </c>
      <c r="J5" t="s">
        <v>5</v>
      </c>
      <c r="K5">
        <f t="shared" si="0"/>
        <v>40000</v>
      </c>
    </row>
    <row r="6" spans="1:11" x14ac:dyDescent="0.45">
      <c r="A6">
        <v>751983</v>
      </c>
      <c r="B6" t="s">
        <v>6</v>
      </c>
      <c r="C6" t="s">
        <v>1</v>
      </c>
      <c r="D6" t="s">
        <v>2</v>
      </c>
      <c r="E6" s="1">
        <v>45661</v>
      </c>
      <c r="F6" t="s">
        <v>12</v>
      </c>
      <c r="G6">
        <v>35000</v>
      </c>
      <c r="H6">
        <v>1</v>
      </c>
      <c r="I6">
        <v>0</v>
      </c>
      <c r="J6" t="s">
        <v>5</v>
      </c>
      <c r="K6">
        <f t="shared" si="0"/>
        <v>35000</v>
      </c>
    </row>
    <row r="7" spans="1:11" x14ac:dyDescent="0.45">
      <c r="A7">
        <v>902384</v>
      </c>
      <c r="B7" t="s">
        <v>0</v>
      </c>
      <c r="C7" t="s">
        <v>13</v>
      </c>
      <c r="D7" t="s">
        <v>14</v>
      </c>
      <c r="E7" s="1">
        <v>45661</v>
      </c>
      <c r="F7" t="s">
        <v>15</v>
      </c>
      <c r="G7">
        <v>50000</v>
      </c>
      <c r="H7">
        <v>1</v>
      </c>
      <c r="I7">
        <v>1500</v>
      </c>
      <c r="J7" t="s">
        <v>16</v>
      </c>
      <c r="K7">
        <f t="shared" si="0"/>
        <v>48500</v>
      </c>
    </row>
    <row r="8" spans="1:11" x14ac:dyDescent="0.45">
      <c r="A8">
        <v>892374</v>
      </c>
      <c r="B8" t="s">
        <v>6</v>
      </c>
      <c r="C8" t="s">
        <v>17</v>
      </c>
      <c r="D8" t="s">
        <v>18</v>
      </c>
      <c r="E8" s="1">
        <v>45662</v>
      </c>
      <c r="F8" t="s">
        <v>19</v>
      </c>
      <c r="G8">
        <v>30000</v>
      </c>
      <c r="H8">
        <v>2</v>
      </c>
      <c r="I8">
        <v>1800</v>
      </c>
      <c r="J8" t="s">
        <v>20</v>
      </c>
      <c r="K8">
        <f t="shared" si="0"/>
        <v>58200</v>
      </c>
    </row>
    <row r="9" spans="1:11" x14ac:dyDescent="0.45">
      <c r="A9">
        <v>625198</v>
      </c>
      <c r="B9" t="s">
        <v>6</v>
      </c>
      <c r="C9" t="s">
        <v>17</v>
      </c>
      <c r="D9" t="s">
        <v>18</v>
      </c>
      <c r="E9" s="1">
        <v>45663</v>
      </c>
      <c r="F9" t="s">
        <v>21</v>
      </c>
      <c r="G9">
        <v>45000</v>
      </c>
      <c r="H9">
        <v>2</v>
      </c>
      <c r="I9">
        <v>0</v>
      </c>
      <c r="J9" t="s">
        <v>5</v>
      </c>
      <c r="K9">
        <f t="shared" si="0"/>
        <v>90000</v>
      </c>
    </row>
    <row r="10" spans="1:11" x14ac:dyDescent="0.45">
      <c r="A10">
        <v>137944</v>
      </c>
      <c r="B10" t="s">
        <v>0</v>
      </c>
      <c r="C10" t="s">
        <v>13</v>
      </c>
      <c r="D10" t="s">
        <v>14</v>
      </c>
      <c r="E10" s="1">
        <v>45664</v>
      </c>
      <c r="F10" t="s">
        <v>22</v>
      </c>
      <c r="G10">
        <v>80000</v>
      </c>
      <c r="H10">
        <v>1</v>
      </c>
      <c r="I10">
        <v>2400</v>
      </c>
      <c r="J10" t="s">
        <v>16</v>
      </c>
      <c r="K10">
        <f t="shared" si="0"/>
        <v>77600</v>
      </c>
    </row>
    <row r="11" spans="1:11" x14ac:dyDescent="0.45">
      <c r="A11">
        <v>489237</v>
      </c>
      <c r="B11" t="s">
        <v>0</v>
      </c>
      <c r="C11" t="s">
        <v>1</v>
      </c>
      <c r="D11" t="s">
        <v>2</v>
      </c>
      <c r="E11" s="1">
        <v>45664</v>
      </c>
      <c r="F11" t="s">
        <v>23</v>
      </c>
      <c r="G11">
        <v>30000</v>
      </c>
      <c r="H11">
        <v>2</v>
      </c>
      <c r="I11">
        <v>4200</v>
      </c>
      <c r="J11" t="s">
        <v>4</v>
      </c>
      <c r="K11">
        <f t="shared" si="0"/>
        <v>55800</v>
      </c>
    </row>
    <row r="12" spans="1:11" x14ac:dyDescent="0.45">
      <c r="A12">
        <v>290385</v>
      </c>
      <c r="B12" t="s">
        <v>0</v>
      </c>
      <c r="C12" t="s">
        <v>7</v>
      </c>
      <c r="D12" t="s">
        <v>8</v>
      </c>
      <c r="E12" s="1">
        <v>45665</v>
      </c>
      <c r="F12" t="s">
        <v>24</v>
      </c>
      <c r="G12">
        <v>24000</v>
      </c>
      <c r="H12">
        <v>1</v>
      </c>
      <c r="I12">
        <v>1200</v>
      </c>
      <c r="J12" t="s">
        <v>10</v>
      </c>
      <c r="K12">
        <f t="shared" si="0"/>
        <v>22800</v>
      </c>
    </row>
    <row r="13" spans="1:11" x14ac:dyDescent="0.45">
      <c r="A13">
        <v>758394</v>
      </c>
      <c r="B13" t="s">
        <v>6</v>
      </c>
      <c r="C13" t="s">
        <v>7</v>
      </c>
      <c r="D13" t="s">
        <v>8</v>
      </c>
      <c r="E13" s="1">
        <v>45665</v>
      </c>
      <c r="F13" t="s">
        <v>25</v>
      </c>
      <c r="G13">
        <v>40000</v>
      </c>
      <c r="H13">
        <v>2</v>
      </c>
      <c r="I13">
        <v>800</v>
      </c>
      <c r="J13" t="s">
        <v>10</v>
      </c>
      <c r="K13">
        <f t="shared" si="0"/>
        <v>79200</v>
      </c>
    </row>
    <row r="14" spans="1:11" x14ac:dyDescent="0.45">
      <c r="A14">
        <v>847516</v>
      </c>
      <c r="B14" t="s">
        <v>6</v>
      </c>
      <c r="C14" t="s">
        <v>7</v>
      </c>
      <c r="D14" t="s">
        <v>8</v>
      </c>
      <c r="E14" s="1">
        <v>45666</v>
      </c>
      <c r="F14" t="s">
        <v>26</v>
      </c>
      <c r="G14">
        <v>60000</v>
      </c>
      <c r="H14">
        <v>1</v>
      </c>
      <c r="I14">
        <v>0</v>
      </c>
      <c r="J14" t="s">
        <v>5</v>
      </c>
      <c r="K14">
        <f t="shared" si="0"/>
        <v>60000</v>
      </c>
    </row>
    <row r="15" spans="1:11" x14ac:dyDescent="0.45">
      <c r="A15">
        <v>502948</v>
      </c>
      <c r="B15" t="s">
        <v>6</v>
      </c>
      <c r="C15" t="s">
        <v>17</v>
      </c>
      <c r="D15" t="s">
        <v>18</v>
      </c>
      <c r="E15" s="1">
        <v>45666</v>
      </c>
      <c r="F15" t="s">
        <v>21</v>
      </c>
      <c r="G15">
        <v>50000</v>
      </c>
      <c r="H15">
        <v>2</v>
      </c>
      <c r="I15">
        <v>1500</v>
      </c>
      <c r="J15" t="s">
        <v>20</v>
      </c>
      <c r="K15">
        <f t="shared" si="0"/>
        <v>98500</v>
      </c>
    </row>
    <row r="16" spans="1:11" x14ac:dyDescent="0.45">
      <c r="A16">
        <v>671025</v>
      </c>
      <c r="B16" t="s">
        <v>6</v>
      </c>
      <c r="C16" t="s">
        <v>1</v>
      </c>
      <c r="D16" t="s">
        <v>2</v>
      </c>
      <c r="E16" s="1">
        <v>45667</v>
      </c>
      <c r="F16" t="s">
        <v>27</v>
      </c>
      <c r="G16">
        <v>25000</v>
      </c>
      <c r="H16">
        <v>3</v>
      </c>
      <c r="I16">
        <v>0</v>
      </c>
      <c r="J16" t="s">
        <v>5</v>
      </c>
      <c r="K16">
        <f t="shared" si="0"/>
        <v>75000</v>
      </c>
    </row>
    <row r="17" spans="1:11" x14ac:dyDescent="0.45">
      <c r="A17">
        <v>395712</v>
      </c>
      <c r="B17" t="s">
        <v>0</v>
      </c>
      <c r="C17" t="s">
        <v>1</v>
      </c>
      <c r="D17" t="s">
        <v>2</v>
      </c>
      <c r="E17" s="1">
        <v>45668</v>
      </c>
      <c r="F17" t="s">
        <v>23</v>
      </c>
      <c r="G17">
        <v>30000</v>
      </c>
      <c r="H17">
        <v>2</v>
      </c>
      <c r="I17">
        <v>1800</v>
      </c>
      <c r="J17" t="s">
        <v>4</v>
      </c>
      <c r="K17">
        <f t="shared" si="0"/>
        <v>58200</v>
      </c>
    </row>
    <row r="18" spans="1:11" x14ac:dyDescent="0.45">
      <c r="A18">
        <v>562938</v>
      </c>
      <c r="B18" t="s">
        <v>6</v>
      </c>
      <c r="C18" t="s">
        <v>1</v>
      </c>
      <c r="D18" t="s">
        <v>2</v>
      </c>
      <c r="E18" s="1">
        <v>45668</v>
      </c>
      <c r="F18" t="s">
        <v>28</v>
      </c>
      <c r="G18">
        <v>15000</v>
      </c>
      <c r="H18">
        <v>3</v>
      </c>
      <c r="I18">
        <v>0</v>
      </c>
      <c r="J18" t="s">
        <v>5</v>
      </c>
      <c r="K18">
        <f t="shared" si="0"/>
        <v>45000</v>
      </c>
    </row>
    <row r="19" spans="1:11" x14ac:dyDescent="0.45">
      <c r="A19">
        <v>294837</v>
      </c>
      <c r="B19" t="s">
        <v>0</v>
      </c>
      <c r="C19" t="s">
        <v>13</v>
      </c>
      <c r="D19" t="s">
        <v>14</v>
      </c>
      <c r="E19" s="1">
        <v>45669</v>
      </c>
      <c r="F19" t="s">
        <v>29</v>
      </c>
      <c r="G19">
        <v>75000</v>
      </c>
      <c r="H19">
        <v>1</v>
      </c>
      <c r="I19">
        <v>0</v>
      </c>
      <c r="J19" t="s">
        <v>5</v>
      </c>
      <c r="K19">
        <f t="shared" si="0"/>
        <v>75000</v>
      </c>
    </row>
    <row r="20" spans="1:11" x14ac:dyDescent="0.45">
      <c r="A20">
        <v>954073</v>
      </c>
      <c r="B20" t="s">
        <v>6</v>
      </c>
      <c r="C20" t="s">
        <v>13</v>
      </c>
      <c r="D20" t="s">
        <v>14</v>
      </c>
      <c r="E20" s="1">
        <v>45670</v>
      </c>
      <c r="F20" t="s">
        <v>30</v>
      </c>
      <c r="G20">
        <v>120000</v>
      </c>
      <c r="H20">
        <v>1</v>
      </c>
      <c r="I20">
        <v>3600</v>
      </c>
      <c r="J20" t="s">
        <v>16</v>
      </c>
      <c r="K20">
        <f t="shared" si="0"/>
        <v>116400</v>
      </c>
    </row>
    <row r="21" spans="1:11" x14ac:dyDescent="0.45">
      <c r="A21">
        <v>982731</v>
      </c>
      <c r="B21" t="s">
        <v>0</v>
      </c>
      <c r="C21" t="s">
        <v>17</v>
      </c>
      <c r="D21" t="s">
        <v>18</v>
      </c>
      <c r="E21" s="1">
        <v>45670</v>
      </c>
      <c r="F21" t="s">
        <v>3</v>
      </c>
      <c r="G21">
        <v>18000</v>
      </c>
      <c r="H21">
        <v>1</v>
      </c>
      <c r="I21">
        <v>0</v>
      </c>
      <c r="J21" t="s">
        <v>5</v>
      </c>
      <c r="K21">
        <f t="shared" si="0"/>
        <v>18000</v>
      </c>
    </row>
    <row r="22" spans="1:11" x14ac:dyDescent="0.45">
      <c r="A22">
        <v>396281</v>
      </c>
      <c r="B22" t="s">
        <v>0</v>
      </c>
      <c r="C22" t="s">
        <v>31</v>
      </c>
      <c r="D22" t="s">
        <v>32</v>
      </c>
      <c r="E22" s="1">
        <v>45671</v>
      </c>
      <c r="F22" t="s">
        <v>33</v>
      </c>
      <c r="G22">
        <v>18000</v>
      </c>
      <c r="H22">
        <v>1</v>
      </c>
      <c r="I22">
        <v>540</v>
      </c>
      <c r="J22" t="s">
        <v>20</v>
      </c>
      <c r="K22">
        <f t="shared" si="0"/>
        <v>17460</v>
      </c>
    </row>
    <row r="23" spans="1:11" x14ac:dyDescent="0.45">
      <c r="A23">
        <v>104875</v>
      </c>
      <c r="B23" t="s">
        <v>0</v>
      </c>
      <c r="C23" t="s">
        <v>31</v>
      </c>
      <c r="D23" t="s">
        <v>32</v>
      </c>
      <c r="E23" s="1">
        <v>45672</v>
      </c>
      <c r="F23" t="s">
        <v>34</v>
      </c>
      <c r="G23">
        <v>70000</v>
      </c>
      <c r="H23">
        <v>1</v>
      </c>
      <c r="I23">
        <v>2100</v>
      </c>
      <c r="J23" t="s">
        <v>20</v>
      </c>
      <c r="K23">
        <f t="shared" si="0"/>
        <v>67900</v>
      </c>
    </row>
    <row r="24" spans="1:11" x14ac:dyDescent="0.45">
      <c r="A24">
        <v>193847</v>
      </c>
      <c r="B24" t="s">
        <v>0</v>
      </c>
      <c r="C24" t="s">
        <v>31</v>
      </c>
      <c r="D24" t="s">
        <v>32</v>
      </c>
      <c r="E24" s="1">
        <v>45672</v>
      </c>
      <c r="F24" t="s">
        <v>34</v>
      </c>
      <c r="G24">
        <v>60000</v>
      </c>
      <c r="H24">
        <v>1</v>
      </c>
      <c r="I24">
        <v>1800</v>
      </c>
      <c r="J24" t="s">
        <v>20</v>
      </c>
      <c r="K24">
        <f t="shared" si="0"/>
        <v>58200</v>
      </c>
    </row>
    <row r="25" spans="1:11" x14ac:dyDescent="0.45">
      <c r="A25">
        <v>402176</v>
      </c>
      <c r="B25" t="s">
        <v>0</v>
      </c>
      <c r="C25" t="s">
        <v>31</v>
      </c>
      <c r="D25" t="s">
        <v>32</v>
      </c>
      <c r="E25" s="1">
        <v>45673</v>
      </c>
      <c r="F25" t="s">
        <v>35</v>
      </c>
      <c r="G25">
        <v>20000</v>
      </c>
      <c r="H25">
        <v>1</v>
      </c>
      <c r="I25">
        <v>600</v>
      </c>
      <c r="J25" t="s">
        <v>20</v>
      </c>
      <c r="K25">
        <f t="shared" si="0"/>
        <v>19400</v>
      </c>
    </row>
    <row r="26" spans="1:11" x14ac:dyDescent="0.45">
      <c r="A26">
        <v>605738</v>
      </c>
      <c r="B26" t="s">
        <v>0</v>
      </c>
      <c r="C26" t="s">
        <v>17</v>
      </c>
      <c r="D26" t="s">
        <v>18</v>
      </c>
      <c r="E26" s="1">
        <v>45674</v>
      </c>
      <c r="F26" t="s">
        <v>36</v>
      </c>
      <c r="G26">
        <v>10000</v>
      </c>
      <c r="H26">
        <v>3</v>
      </c>
      <c r="I26">
        <v>0</v>
      </c>
      <c r="J26" t="s">
        <v>5</v>
      </c>
      <c r="K26">
        <f t="shared" si="0"/>
        <v>30000</v>
      </c>
    </row>
    <row r="27" spans="1:11" x14ac:dyDescent="0.45">
      <c r="A27">
        <v>827395</v>
      </c>
      <c r="B27" t="s">
        <v>0</v>
      </c>
      <c r="C27" t="s">
        <v>13</v>
      </c>
      <c r="D27" t="s">
        <v>14</v>
      </c>
      <c r="E27" s="1">
        <v>45675</v>
      </c>
      <c r="F27" t="s">
        <v>37</v>
      </c>
      <c r="G27">
        <v>95000</v>
      </c>
      <c r="H27">
        <v>1</v>
      </c>
      <c r="I27">
        <v>0</v>
      </c>
      <c r="J27" t="s">
        <v>5</v>
      </c>
      <c r="K27">
        <f t="shared" si="0"/>
        <v>95000</v>
      </c>
    </row>
    <row r="28" spans="1:11" x14ac:dyDescent="0.45">
      <c r="A28">
        <v>327489</v>
      </c>
      <c r="B28" t="s">
        <v>0</v>
      </c>
      <c r="C28" t="s">
        <v>13</v>
      </c>
      <c r="D28" t="s">
        <v>14</v>
      </c>
      <c r="E28" s="1">
        <v>45676</v>
      </c>
      <c r="F28" t="s">
        <v>38</v>
      </c>
      <c r="G28">
        <v>90000</v>
      </c>
      <c r="H28">
        <v>1</v>
      </c>
      <c r="I28">
        <v>2700</v>
      </c>
      <c r="J28" t="s">
        <v>16</v>
      </c>
      <c r="K28">
        <f t="shared" si="0"/>
        <v>87300</v>
      </c>
    </row>
    <row r="29" spans="1:11" x14ac:dyDescent="0.45">
      <c r="A29">
        <v>827394</v>
      </c>
      <c r="B29" t="s">
        <v>0</v>
      </c>
      <c r="C29" t="s">
        <v>7</v>
      </c>
      <c r="D29" t="s">
        <v>8</v>
      </c>
      <c r="E29" s="1">
        <v>45676</v>
      </c>
      <c r="F29" t="s">
        <v>22</v>
      </c>
      <c r="G29">
        <v>75000</v>
      </c>
      <c r="H29">
        <v>1</v>
      </c>
      <c r="I29">
        <v>2250</v>
      </c>
      <c r="J29" t="s">
        <v>10</v>
      </c>
      <c r="K29">
        <f t="shared" si="0"/>
        <v>72750</v>
      </c>
    </row>
    <row r="30" spans="1:11" x14ac:dyDescent="0.45">
      <c r="A30">
        <v>478126</v>
      </c>
      <c r="B30" t="s">
        <v>0</v>
      </c>
      <c r="C30" t="s">
        <v>1</v>
      </c>
      <c r="D30" t="s">
        <v>2</v>
      </c>
      <c r="E30" s="1">
        <v>45677</v>
      </c>
      <c r="F30" t="s">
        <v>39</v>
      </c>
      <c r="G30">
        <v>25000</v>
      </c>
      <c r="H30">
        <v>1</v>
      </c>
      <c r="I30">
        <v>750</v>
      </c>
      <c r="J30" t="s">
        <v>4</v>
      </c>
      <c r="K30">
        <f t="shared" si="0"/>
        <v>24250</v>
      </c>
    </row>
    <row r="31" spans="1:11" x14ac:dyDescent="0.45">
      <c r="A31">
        <v>182349</v>
      </c>
      <c r="B31" t="s">
        <v>6</v>
      </c>
      <c r="C31" t="s">
        <v>13</v>
      </c>
      <c r="D31" t="s">
        <v>14</v>
      </c>
      <c r="E31" s="1">
        <v>45677</v>
      </c>
      <c r="F31" t="s">
        <v>9</v>
      </c>
      <c r="G31">
        <v>45000</v>
      </c>
      <c r="H31">
        <v>2</v>
      </c>
      <c r="I31">
        <v>4500</v>
      </c>
      <c r="J31" t="s">
        <v>16</v>
      </c>
      <c r="K31">
        <f t="shared" si="0"/>
        <v>85500</v>
      </c>
    </row>
    <row r="32" spans="1:11" x14ac:dyDescent="0.45">
      <c r="A32">
        <v>813490</v>
      </c>
      <c r="B32" t="s">
        <v>0</v>
      </c>
      <c r="C32" t="s">
        <v>7</v>
      </c>
      <c r="D32" t="s">
        <v>8</v>
      </c>
      <c r="E32" s="1">
        <v>45678</v>
      </c>
      <c r="F32" t="s">
        <v>40</v>
      </c>
      <c r="G32">
        <v>40000</v>
      </c>
      <c r="H32">
        <v>2</v>
      </c>
      <c r="I32">
        <v>800</v>
      </c>
      <c r="J32" t="s">
        <v>10</v>
      </c>
      <c r="K32">
        <f t="shared" si="0"/>
        <v>79200</v>
      </c>
    </row>
    <row r="33" spans="1:11" x14ac:dyDescent="0.45">
      <c r="A33">
        <v>385019</v>
      </c>
      <c r="B33" t="s">
        <v>0</v>
      </c>
      <c r="C33" t="s">
        <v>17</v>
      </c>
      <c r="D33" t="s">
        <v>18</v>
      </c>
      <c r="E33" s="1">
        <v>45679</v>
      </c>
      <c r="F33" t="s">
        <v>41</v>
      </c>
      <c r="G33">
        <v>15000</v>
      </c>
      <c r="H33">
        <v>2</v>
      </c>
      <c r="I33">
        <v>900</v>
      </c>
      <c r="J33" t="s">
        <v>20</v>
      </c>
      <c r="K33">
        <f t="shared" si="0"/>
        <v>29100</v>
      </c>
    </row>
    <row r="34" spans="1:11" x14ac:dyDescent="0.45">
      <c r="A34">
        <v>658349</v>
      </c>
      <c r="B34" t="s">
        <v>6</v>
      </c>
      <c r="C34" t="s">
        <v>31</v>
      </c>
      <c r="D34" t="s">
        <v>32</v>
      </c>
      <c r="E34" s="1">
        <v>45679</v>
      </c>
      <c r="F34" t="s">
        <v>35</v>
      </c>
      <c r="G34">
        <v>25000</v>
      </c>
      <c r="H34">
        <v>2</v>
      </c>
      <c r="I34">
        <v>750</v>
      </c>
      <c r="J34" t="s">
        <v>20</v>
      </c>
      <c r="K34">
        <f t="shared" si="0"/>
        <v>49250</v>
      </c>
    </row>
    <row r="35" spans="1:11" x14ac:dyDescent="0.45">
      <c r="A35">
        <v>817259</v>
      </c>
      <c r="B35" t="s">
        <v>0</v>
      </c>
      <c r="C35" t="s">
        <v>7</v>
      </c>
      <c r="D35" t="s">
        <v>8</v>
      </c>
      <c r="E35" s="1">
        <v>45680</v>
      </c>
      <c r="F35" t="s">
        <v>42</v>
      </c>
      <c r="G35">
        <v>65000</v>
      </c>
      <c r="H35">
        <v>1</v>
      </c>
      <c r="I35">
        <v>0</v>
      </c>
      <c r="J35" t="s">
        <v>5</v>
      </c>
      <c r="K35">
        <f t="shared" si="0"/>
        <v>65000</v>
      </c>
    </row>
    <row r="36" spans="1:11" x14ac:dyDescent="0.45">
      <c r="A36">
        <v>534827</v>
      </c>
      <c r="B36" t="s">
        <v>6</v>
      </c>
      <c r="C36" t="s">
        <v>13</v>
      </c>
      <c r="D36" t="s">
        <v>14</v>
      </c>
      <c r="E36" s="1">
        <v>45681</v>
      </c>
      <c r="F36" t="s">
        <v>43</v>
      </c>
      <c r="G36">
        <v>150000</v>
      </c>
      <c r="H36">
        <v>1</v>
      </c>
      <c r="I36">
        <v>4500</v>
      </c>
      <c r="J36" t="s">
        <v>16</v>
      </c>
      <c r="K36">
        <f t="shared" si="0"/>
        <v>145500</v>
      </c>
    </row>
    <row r="37" spans="1:11" x14ac:dyDescent="0.45">
      <c r="A37">
        <v>875349</v>
      </c>
      <c r="B37" t="s">
        <v>6</v>
      </c>
      <c r="C37" t="s">
        <v>31</v>
      </c>
      <c r="D37" t="s">
        <v>32</v>
      </c>
      <c r="E37" s="1">
        <v>45682</v>
      </c>
      <c r="F37" t="s">
        <v>44</v>
      </c>
      <c r="G37">
        <v>2000</v>
      </c>
      <c r="H37">
        <v>5</v>
      </c>
      <c r="I37">
        <v>0</v>
      </c>
      <c r="J37" t="s">
        <v>5</v>
      </c>
      <c r="K37">
        <f t="shared" si="0"/>
        <v>10000</v>
      </c>
    </row>
    <row r="38" spans="1:11" x14ac:dyDescent="0.45">
      <c r="A38">
        <v>847159</v>
      </c>
      <c r="B38" t="s">
        <v>6</v>
      </c>
      <c r="C38" t="s">
        <v>17</v>
      </c>
      <c r="D38" t="s">
        <v>18</v>
      </c>
      <c r="E38" s="1">
        <v>45683</v>
      </c>
      <c r="F38" t="s">
        <v>27</v>
      </c>
      <c r="G38">
        <v>20000</v>
      </c>
      <c r="H38">
        <v>2</v>
      </c>
      <c r="I38">
        <v>600</v>
      </c>
      <c r="J38" t="s">
        <v>20</v>
      </c>
      <c r="K38">
        <f t="shared" si="0"/>
        <v>39400</v>
      </c>
    </row>
    <row r="39" spans="1:11" x14ac:dyDescent="0.45">
      <c r="A39">
        <v>319482</v>
      </c>
      <c r="B39" t="s">
        <v>6</v>
      </c>
      <c r="C39" t="s">
        <v>17</v>
      </c>
      <c r="D39" t="s">
        <v>18</v>
      </c>
      <c r="E39" s="1">
        <v>45683</v>
      </c>
      <c r="F39" t="s">
        <v>45</v>
      </c>
      <c r="G39">
        <v>30000</v>
      </c>
      <c r="H39">
        <v>1</v>
      </c>
      <c r="I39">
        <v>0</v>
      </c>
      <c r="J39" t="s">
        <v>5</v>
      </c>
      <c r="K39">
        <f t="shared" si="0"/>
        <v>30000</v>
      </c>
    </row>
    <row r="40" spans="1:11" x14ac:dyDescent="0.45">
      <c r="A40">
        <v>209385</v>
      </c>
      <c r="B40" t="s">
        <v>6</v>
      </c>
      <c r="C40" t="s">
        <v>13</v>
      </c>
      <c r="D40" t="s">
        <v>14</v>
      </c>
      <c r="E40" s="1">
        <v>45684</v>
      </c>
      <c r="F40" t="s">
        <v>46</v>
      </c>
      <c r="G40">
        <v>155000</v>
      </c>
      <c r="H40">
        <v>1</v>
      </c>
      <c r="I40">
        <v>6200</v>
      </c>
      <c r="J40" t="s">
        <v>16</v>
      </c>
      <c r="K40">
        <f t="shared" si="0"/>
        <v>148800</v>
      </c>
    </row>
    <row r="41" spans="1:11" x14ac:dyDescent="0.45">
      <c r="A41">
        <v>758493</v>
      </c>
      <c r="B41" t="s">
        <v>6</v>
      </c>
      <c r="C41" t="s">
        <v>7</v>
      </c>
      <c r="D41" t="s">
        <v>8</v>
      </c>
      <c r="E41" s="1">
        <v>45684</v>
      </c>
      <c r="F41" t="s">
        <v>19</v>
      </c>
      <c r="G41">
        <v>20000</v>
      </c>
      <c r="H41">
        <v>3</v>
      </c>
      <c r="I41">
        <v>0</v>
      </c>
      <c r="J41" t="s">
        <v>5</v>
      </c>
      <c r="K41">
        <f t="shared" si="0"/>
        <v>60000</v>
      </c>
    </row>
    <row r="42" spans="1:11" x14ac:dyDescent="0.45">
      <c r="A42">
        <v>623910</v>
      </c>
      <c r="B42" t="s">
        <v>0</v>
      </c>
      <c r="C42" t="s">
        <v>17</v>
      </c>
      <c r="D42" t="s">
        <v>18</v>
      </c>
      <c r="E42" s="1">
        <v>45685</v>
      </c>
      <c r="F42" t="s">
        <v>47</v>
      </c>
      <c r="G42">
        <v>12000</v>
      </c>
      <c r="H42">
        <v>2</v>
      </c>
      <c r="I42">
        <v>0</v>
      </c>
      <c r="J42" t="s">
        <v>5</v>
      </c>
      <c r="K42">
        <f t="shared" si="0"/>
        <v>24000</v>
      </c>
    </row>
    <row r="43" spans="1:11" x14ac:dyDescent="0.45">
      <c r="A43">
        <v>948576</v>
      </c>
      <c r="B43" t="s">
        <v>6</v>
      </c>
      <c r="C43" t="s">
        <v>31</v>
      </c>
      <c r="D43" t="s">
        <v>32</v>
      </c>
      <c r="E43" s="1">
        <v>45686</v>
      </c>
      <c r="F43" t="s">
        <v>48</v>
      </c>
      <c r="G43">
        <v>15000</v>
      </c>
      <c r="H43">
        <v>4</v>
      </c>
      <c r="I43">
        <v>0</v>
      </c>
      <c r="J43" t="s">
        <v>5</v>
      </c>
      <c r="K43">
        <f t="shared" si="0"/>
        <v>60000</v>
      </c>
    </row>
    <row r="44" spans="1:11" x14ac:dyDescent="0.45">
      <c r="A44">
        <v>685429</v>
      </c>
      <c r="B44" t="s">
        <v>6</v>
      </c>
      <c r="C44" t="s">
        <v>7</v>
      </c>
      <c r="D44" t="s">
        <v>8</v>
      </c>
      <c r="E44" s="1">
        <v>45687</v>
      </c>
      <c r="F44" t="s">
        <v>49</v>
      </c>
      <c r="G44">
        <v>30000</v>
      </c>
      <c r="H44">
        <v>2</v>
      </c>
      <c r="I44">
        <v>900</v>
      </c>
      <c r="J44" t="s">
        <v>10</v>
      </c>
      <c r="K44">
        <f t="shared" si="0"/>
        <v>59100</v>
      </c>
    </row>
    <row r="45" spans="1:11" x14ac:dyDescent="0.45">
      <c r="A45">
        <v>754839</v>
      </c>
      <c r="B45" t="s">
        <v>0</v>
      </c>
      <c r="C45" t="s">
        <v>31</v>
      </c>
      <c r="D45" t="s">
        <v>32</v>
      </c>
      <c r="E45" s="1">
        <v>45687</v>
      </c>
      <c r="F45" t="s">
        <v>50</v>
      </c>
      <c r="G45">
        <v>25000</v>
      </c>
      <c r="H45">
        <v>2</v>
      </c>
      <c r="I45">
        <v>0</v>
      </c>
      <c r="J45" t="s">
        <v>5</v>
      </c>
      <c r="K45">
        <f t="shared" si="0"/>
        <v>50000</v>
      </c>
    </row>
    <row r="46" spans="1:11" x14ac:dyDescent="0.45">
      <c r="A46">
        <v>908374</v>
      </c>
      <c r="B46" t="s">
        <v>6</v>
      </c>
      <c r="C46" t="s">
        <v>31</v>
      </c>
      <c r="D46" t="s">
        <v>32</v>
      </c>
      <c r="E46" s="1">
        <v>45688</v>
      </c>
      <c r="F46" t="s">
        <v>51</v>
      </c>
      <c r="G46">
        <v>10000</v>
      </c>
      <c r="H46">
        <v>3</v>
      </c>
      <c r="I46">
        <v>0</v>
      </c>
      <c r="J46" t="s">
        <v>5</v>
      </c>
      <c r="K46">
        <f t="shared" si="0"/>
        <v>30000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Cecile</dc:creator>
  <cp:lastModifiedBy>수현 변</cp:lastModifiedBy>
  <dcterms:created xsi:type="dcterms:W3CDTF">2025-03-10T04:25:34Z</dcterms:created>
  <dcterms:modified xsi:type="dcterms:W3CDTF">2026-01-13T08:25:01Z</dcterms:modified>
</cp:coreProperties>
</file>