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hyeon\Workspace\코드잇_스프린트_DA_13기\7. 엑셀을활용한추론통계실습\"/>
    </mc:Choice>
  </mc:AlternateContent>
  <xr:revisionPtr revIDLastSave="0" documentId="13_ncr:1_{1D04D523-F79E-4038-AB64-18CDE0796AE9}" xr6:coauthVersionLast="47" xr6:coauthVersionMax="47" xr10:uidLastSave="{00000000-0000-0000-0000-000000000000}"/>
  <bookViews>
    <workbookView xWindow="3290" yWindow="950" windowWidth="19250" windowHeight="14240" firstSheet="1" activeTab="4" xr2:uid="{D9D0CEFD-F510-BD49-8F89-4D88711789C7}"/>
  </bookViews>
  <sheets>
    <sheet name="셀 기초+다양한 참조 방식" sheetId="1" r:id="rId1"/>
    <sheet name="기초통계와 기본함수" sheetId="3" r:id="rId2"/>
    <sheet name="수학&amp;순서함수" sheetId="4" r:id="rId3"/>
    <sheet name="날짜시간함수" sheetId="5" r:id="rId4"/>
    <sheet name="IF함수와조건식" sheetId="6" r:id="rId5"/>
  </sheets>
  <definedNames>
    <definedName name="_xlnm._FilterDatabase" localSheetId="0" hidden="1">'셀 기초+다양한 참조 방식'!$A$1:$J$21</definedName>
    <definedName name="_xlnm._FilterDatabase" localSheetId="2" hidden="1">'수학&amp;순서함수'!$A$1:$I$21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5" l="1"/>
  <c r="N7" i="6"/>
  <c r="N6" i="6"/>
  <c r="N5" i="6"/>
  <c r="N4" i="6"/>
  <c r="N3" i="6"/>
  <c r="N2" i="6"/>
  <c r="M3" i="6" a="1"/>
  <c r="M3" i="6" s="1"/>
  <c r="M2" i="6" a="1"/>
  <c r="M2" i="6" s="1"/>
  <c r="M4" i="6" a="1"/>
  <c r="M4" i="6" s="1"/>
  <c r="M5" i="6" a="1"/>
  <c r="M5" i="6" s="1"/>
  <c r="M6" i="6" a="1"/>
  <c r="M6" i="6" s="1"/>
  <c r="M7" i="6" a="1"/>
  <c r="M7" i="6" s="1"/>
  <c r="M8" i="6" a="1"/>
  <c r="M8" i="6" s="1"/>
  <c r="M9" i="6" a="1"/>
  <c r="M9" i="6"/>
  <c r="M10" i="6" a="1"/>
  <c r="M10" i="6" s="1"/>
  <c r="M11" i="6" a="1"/>
  <c r="M11" i="6" s="1"/>
  <c r="M12" i="6" a="1"/>
  <c r="M12" i="6" s="1"/>
  <c r="M13" i="6" a="1"/>
  <c r="M13" i="6" s="1"/>
  <c r="M14" i="6" a="1"/>
  <c r="M14" i="6" s="1"/>
  <c r="M15" i="6" a="1"/>
  <c r="M15" i="6" s="1"/>
  <c r="M16" i="6" a="1"/>
  <c r="M16" i="6" s="1"/>
  <c r="M17" i="6" a="1"/>
  <c r="M17" i="6" s="1"/>
  <c r="M18" i="6" a="1"/>
  <c r="M18" i="6" s="1"/>
  <c r="M19" i="6" a="1"/>
  <c r="M19" i="6" s="1"/>
  <c r="M20" i="6" a="1"/>
  <c r="M20" i="6" s="1"/>
  <c r="M21" i="6" a="1"/>
  <c r="M21" i="6" s="1"/>
  <c r="L2" i="6"/>
  <c r="L5" i="6"/>
  <c r="L6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4" i="6"/>
  <c r="L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2" i="5"/>
  <c r="K2" i="5" s="1"/>
  <c r="J3" i="5" s="1"/>
  <c r="N56" i="4"/>
  <c r="M56" i="4"/>
  <c r="L56" i="4"/>
  <c r="K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K3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Q10" i="4"/>
  <c r="Q18" i="4"/>
  <c r="Q2" i="4"/>
  <c r="P10" i="4"/>
  <c r="P18" i="4"/>
  <c r="O2" i="4"/>
  <c r="N10" i="4"/>
  <c r="N18" i="4"/>
  <c r="M8" i="4"/>
  <c r="M16" i="4"/>
  <c r="M2" i="4"/>
  <c r="N2" i="4"/>
  <c r="L2" i="4"/>
  <c r="P2" i="4" s="1"/>
  <c r="L8" i="4"/>
  <c r="P8" i="4" s="1"/>
  <c r="L9" i="4"/>
  <c r="M9" i="4" s="1"/>
  <c r="L10" i="4"/>
  <c r="O10" i="4" s="1"/>
  <c r="L16" i="4"/>
  <c r="P16" i="4" s="1"/>
  <c r="L17" i="4"/>
  <c r="M17" i="4" s="1"/>
  <c r="L18" i="4"/>
  <c r="O18" i="4" s="1"/>
  <c r="K22" i="4"/>
  <c r="L22" i="4" s="1"/>
  <c r="K21" i="4"/>
  <c r="L21" i="4" s="1"/>
  <c r="K20" i="4"/>
  <c r="L20" i="4" s="1"/>
  <c r="K19" i="4"/>
  <c r="L19" i="4" s="1"/>
  <c r="K18" i="4"/>
  <c r="K17" i="4"/>
  <c r="K16" i="4"/>
  <c r="K15" i="4"/>
  <c r="L15" i="4" s="1"/>
  <c r="K14" i="4"/>
  <c r="L14" i="4" s="1"/>
  <c r="K13" i="4"/>
  <c r="L13" i="4" s="1"/>
  <c r="K12" i="4"/>
  <c r="L12" i="4" s="1"/>
  <c r="K11" i="4"/>
  <c r="L11" i="4" s="1"/>
  <c r="K10" i="4"/>
  <c r="K9" i="4"/>
  <c r="K8" i="4"/>
  <c r="K7" i="4"/>
  <c r="L7" i="4" s="1"/>
  <c r="K6" i="4"/>
  <c r="L6" i="4" s="1"/>
  <c r="K5" i="4"/>
  <c r="L5" i="4" s="1"/>
  <c r="K4" i="4"/>
  <c r="L4" i="4" s="1"/>
  <c r="K3" i="4"/>
  <c r="L3" i="4" s="1"/>
  <c r="K2" i="4"/>
  <c r="H25" i="3"/>
  <c r="G25" i="3"/>
  <c r="J24" i="3"/>
  <c r="I24" i="3"/>
  <c r="H24" i="3"/>
  <c r="G24" i="3"/>
  <c r="G23" i="3"/>
  <c r="H23" i="3"/>
  <c r="J23" i="3"/>
  <c r="M8" i="3"/>
  <c r="M5" i="3"/>
  <c r="M7" i="3"/>
  <c r="M6" i="3"/>
  <c r="M4" i="3"/>
  <c r="M3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N2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E4" i="1"/>
  <c r="E15" i="1"/>
  <c r="E3" i="1"/>
  <c r="E5" i="1"/>
  <c r="E6" i="1"/>
  <c r="E7" i="1"/>
  <c r="E8" i="1"/>
  <c r="E9" i="1"/>
  <c r="E10" i="1"/>
  <c r="E11" i="1"/>
  <c r="E12" i="1"/>
  <c r="E13" i="1"/>
  <c r="E14" i="1"/>
  <c r="E16" i="1"/>
  <c r="E17" i="1"/>
  <c r="E18" i="1"/>
  <c r="E19" i="1"/>
  <c r="E20" i="1"/>
  <c r="E21" i="1"/>
  <c r="E2" i="1"/>
  <c r="K5" i="1"/>
  <c r="K3" i="1"/>
  <c r="K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L20" i="5" l="1"/>
  <c r="M20" i="5" s="1"/>
  <c r="L19" i="5"/>
  <c r="M19" i="5" s="1"/>
  <c r="L18" i="5"/>
  <c r="M18" i="5" s="1"/>
  <c r="L17" i="5"/>
  <c r="M17" i="5" s="1"/>
  <c r="L12" i="5"/>
  <c r="M12" i="5" s="1"/>
  <c r="L11" i="5"/>
  <c r="M11" i="5" s="1"/>
  <c r="L9" i="5"/>
  <c r="M9" i="5" s="1"/>
  <c r="L10" i="5"/>
  <c r="M10" i="5" s="1"/>
  <c r="L16" i="5"/>
  <c r="M16" i="5" s="1"/>
  <c r="L8" i="5"/>
  <c r="M8" i="5" s="1"/>
  <c r="L15" i="5"/>
  <c r="M15" i="5" s="1"/>
  <c r="L7" i="5"/>
  <c r="M7" i="5" s="1"/>
  <c r="L14" i="5"/>
  <c r="M14" i="5" s="1"/>
  <c r="L6" i="5"/>
  <c r="M6" i="5" s="1"/>
  <c r="L21" i="5"/>
  <c r="M21" i="5" s="1"/>
  <c r="L13" i="5"/>
  <c r="M13" i="5" s="1"/>
  <c r="L5" i="5"/>
  <c r="M5" i="5" s="1"/>
  <c r="L4" i="5"/>
  <c r="M4" i="5" s="1"/>
  <c r="L3" i="5"/>
  <c r="M3" i="5" s="1"/>
  <c r="L2" i="5"/>
  <c r="M2" i="5" s="1"/>
  <c r="K12" i="5"/>
  <c r="K11" i="5"/>
  <c r="K18" i="5"/>
  <c r="K17" i="5"/>
  <c r="K9" i="5"/>
  <c r="K14" i="5"/>
  <c r="K4" i="5"/>
  <c r="K19" i="5"/>
  <c r="K10" i="5"/>
  <c r="K16" i="5"/>
  <c r="K8" i="5"/>
  <c r="K6" i="5"/>
  <c r="K20" i="5"/>
  <c r="K15" i="5"/>
  <c r="K7" i="5"/>
  <c r="K21" i="5"/>
  <c r="K13" i="5"/>
  <c r="K5" i="5"/>
  <c r="K3" i="5"/>
  <c r="Q4" i="4"/>
  <c r="O4" i="4"/>
  <c r="M4" i="4"/>
  <c r="N4" i="4"/>
  <c r="P4" i="4"/>
  <c r="Q12" i="4"/>
  <c r="O12" i="4"/>
  <c r="M12" i="4"/>
  <c r="N12" i="4"/>
  <c r="P12" i="4"/>
  <c r="Q20" i="4"/>
  <c r="N20" i="4"/>
  <c r="O20" i="4"/>
  <c r="M20" i="4"/>
  <c r="P20" i="4"/>
  <c r="N5" i="4"/>
  <c r="Q5" i="4"/>
  <c r="M5" i="4"/>
  <c r="O5" i="4"/>
  <c r="P5" i="4"/>
  <c r="N13" i="4"/>
  <c r="Q13" i="4"/>
  <c r="P13" i="4"/>
  <c r="O13" i="4"/>
  <c r="M13" i="4"/>
  <c r="N6" i="4"/>
  <c r="Q6" i="4"/>
  <c r="O6" i="4"/>
  <c r="P6" i="4"/>
  <c r="M6" i="4"/>
  <c r="N14" i="4"/>
  <c r="Q14" i="4"/>
  <c r="O14" i="4"/>
  <c r="M14" i="4"/>
  <c r="P14" i="4"/>
  <c r="N22" i="4"/>
  <c r="Q22" i="4"/>
  <c r="O22" i="4"/>
  <c r="P22" i="4"/>
  <c r="M22" i="4"/>
  <c r="P3" i="4"/>
  <c r="O3" i="4"/>
  <c r="N3" i="4"/>
  <c r="Q3" i="4"/>
  <c r="M3" i="4"/>
  <c r="O11" i="4"/>
  <c r="M11" i="4"/>
  <c r="N11" i="4"/>
  <c r="Q11" i="4"/>
  <c r="P11" i="4"/>
  <c r="Q19" i="4"/>
  <c r="O19" i="4"/>
  <c r="M19" i="4"/>
  <c r="P19" i="4"/>
  <c r="N19" i="4"/>
  <c r="P7" i="4"/>
  <c r="N7" i="4"/>
  <c r="M7" i="4"/>
  <c r="Q7" i="4"/>
  <c r="O7" i="4"/>
  <c r="P15" i="4"/>
  <c r="M15" i="4"/>
  <c r="N15" i="4"/>
  <c r="Q15" i="4"/>
  <c r="O15" i="4"/>
  <c r="N21" i="4"/>
  <c r="Q21" i="4"/>
  <c r="O21" i="4"/>
  <c r="M21" i="4"/>
  <c r="P21" i="4"/>
  <c r="Q17" i="4"/>
  <c r="Q9" i="4"/>
  <c r="O16" i="4"/>
  <c r="N17" i="4"/>
  <c r="Q8" i="4"/>
  <c r="N16" i="4"/>
  <c r="N8" i="4"/>
  <c r="P17" i="4"/>
  <c r="P9" i="4"/>
  <c r="O17" i="4"/>
  <c r="O8" i="4"/>
  <c r="N9" i="4"/>
  <c r="Q16" i="4"/>
  <c r="M18" i="4"/>
  <c r="M10" i="4"/>
  <c r="O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<sst xmlns="http://schemas.openxmlformats.org/spreadsheetml/2006/main" count="766" uniqueCount="161">
  <si>
    <t>주소</t>
  </si>
  <si>
    <t>전화번호</t>
  </si>
  <si>
    <t>팀</t>
  </si>
  <si>
    <t>직책</t>
  </si>
  <si>
    <t>나이</t>
  </si>
  <si>
    <t>김지훈</t>
  </si>
  <si>
    <t>서울특별시 강남구 논현동 15</t>
  </si>
  <si>
    <t>010-1234-5678</t>
  </si>
  <si>
    <t>영업팀</t>
  </si>
  <si>
    <t>부장</t>
  </si>
  <si>
    <t>팀장</t>
  </si>
  <si>
    <t>이민서</t>
  </si>
  <si>
    <t>서울특별시 송파구 잠실동 20</t>
  </si>
  <si>
    <t>010-2345-6789</t>
  </si>
  <si>
    <t>대리</t>
  </si>
  <si>
    <t>경기도 성남시 분당구 정자동 7</t>
  </si>
  <si>
    <t>010-3456-7890</t>
  </si>
  <si>
    <t>사원</t>
  </si>
  <si>
    <t>한예린</t>
  </si>
  <si>
    <t>서울특별시 서초구 반포동 88</t>
  </si>
  <si>
    <t>010-4567-8901</t>
  </si>
  <si>
    <t>과장</t>
  </si>
  <si>
    <t>최승현</t>
  </si>
  <si>
    <t>서울특별시 중구 을지로 25</t>
  </si>
  <si>
    <t>010-5678-9012</t>
  </si>
  <si>
    <t>기획팀</t>
  </si>
  <si>
    <t>차장</t>
  </si>
  <si>
    <t>강수진</t>
  </si>
  <si>
    <t>경기도 수원시 영통구 영통동 99</t>
  </si>
  <si>
    <t>010-6789-0123</t>
  </si>
  <si>
    <t>장우진</t>
  </si>
  <si>
    <t>010-7890-1234</t>
  </si>
  <si>
    <t>김하은</t>
  </si>
  <si>
    <t>서울특별시 관악구 신림동 44</t>
  </si>
  <si>
    <t>010-8901-2345</t>
  </si>
  <si>
    <t>개발팀</t>
  </si>
  <si>
    <t>박도현</t>
  </si>
  <si>
    <t>서울특별시 용산구 한남동 101</t>
  </si>
  <si>
    <t>010-9012-3456</t>
  </si>
  <si>
    <t>이수아</t>
  </si>
  <si>
    <t>경기도 안양시 동안구 평촌동 8</t>
  </si>
  <si>
    <t>010-0123-4567</t>
  </si>
  <si>
    <t>윤재혁</t>
  </si>
  <si>
    <t>서울특별시 강서구 화곡동 12</t>
  </si>
  <si>
    <t>010-1111-2222</t>
  </si>
  <si>
    <t>한지민</t>
  </si>
  <si>
    <t>서울특별시 서대문구 신촌동 33</t>
  </si>
  <si>
    <t>010-2222-3333</t>
  </si>
  <si>
    <t>마케팅팀</t>
  </si>
  <si>
    <t>박혜진</t>
  </si>
  <si>
    <t>서울특별시 성동구 성수동 77</t>
  </si>
  <si>
    <t>010-3333-4444</t>
  </si>
  <si>
    <t>임동현</t>
  </si>
  <si>
    <t>경기도 고양시 일산동구 백석동 21</t>
  </si>
  <si>
    <t>010-4444-5555</t>
  </si>
  <si>
    <t>최유정</t>
  </si>
  <si>
    <t>서울특별시 강북구 수유동 51</t>
  </si>
  <si>
    <t>010-5555-6666</t>
  </si>
  <si>
    <t>정승원</t>
  </si>
  <si>
    <t>서울특별시 양천구 목동 5</t>
  </si>
  <si>
    <t>010-6666-7777</t>
  </si>
  <si>
    <t>연구팀</t>
  </si>
  <si>
    <t>박세연</t>
  </si>
  <si>
    <t>경기도 화성시 동탄동 60</t>
  </si>
  <si>
    <t>010-7777-8888</t>
  </si>
  <si>
    <t>이준서</t>
  </si>
  <si>
    <t>서울특별시 영등포구 여의도동 1</t>
  </si>
  <si>
    <t>010-8888-9999</t>
  </si>
  <si>
    <t>송지아</t>
  </si>
  <si>
    <t>서울특별시 은평구 응암동 3</t>
  </si>
  <si>
    <t>010-9999-0000</t>
  </si>
  <si>
    <t>한상우</t>
  </si>
  <si>
    <t>경기도 용인시 기흥구 구성동 10</t>
  </si>
  <si>
    <t>010-0000-1111</t>
  </si>
  <si>
    <t>입사 일자</t>
  </si>
  <si>
    <t>직위</t>
    <phoneticPr fontId="1" type="noConversion"/>
  </si>
  <si>
    <t>직원 이름</t>
    <phoneticPr fontId="1" type="noConversion"/>
  </si>
  <si>
    <t>연봉(만원)</t>
    <phoneticPr fontId="1" type="noConversion"/>
  </si>
  <si>
    <t>INT</t>
    <phoneticPr fontId="1" type="noConversion"/>
  </si>
  <si>
    <t>ctrl+x:잘라내기</t>
    <phoneticPr fontId="1" type="noConversion"/>
  </si>
  <si>
    <t>우클릭:잘라낸 셀 삽입</t>
    <phoneticPr fontId="1" type="noConversion"/>
  </si>
  <si>
    <t>열 왼쪽부분 십자가 shift 클릭-&gt; 옮기고싶은곳으로 드래그</t>
    <phoneticPr fontId="1" type="noConversion"/>
  </si>
  <si>
    <t>박준호</t>
    <phoneticPr fontId="1" type="noConversion"/>
  </si>
  <si>
    <t>행은 아랫쪽부분</t>
    <phoneticPr fontId="1" type="noConversion"/>
  </si>
  <si>
    <t>행추가할 때는 추가할 행 아래행 우클릭 -&gt; 삽입 클릭</t>
    <phoneticPr fontId="1" type="noConversion"/>
  </si>
  <si>
    <t>셀 병합하고 가운데 맞춤</t>
    <phoneticPr fontId="1" type="noConversion"/>
  </si>
  <si>
    <t xml:space="preserve">전체병합 -&gt; 가로방향으로 병합됨 </t>
    <phoneticPr fontId="1" type="noConversion"/>
  </si>
  <si>
    <t>셀 병합 -&gt; 방향 상관없이 모든 셀이 병합됨.</t>
    <phoneticPr fontId="1" type="noConversion"/>
  </si>
  <si>
    <t xml:space="preserve">병합된 셀을 다시 나누고 싶을 때 -&gt; 셀 분할 </t>
    <phoneticPr fontId="1" type="noConversion"/>
  </si>
  <si>
    <t>ctrl+a:데이터영역클릭</t>
    <phoneticPr fontId="1" type="noConversion"/>
  </si>
  <si>
    <t xml:space="preserve">테두리 모두 </t>
    <phoneticPr fontId="1" type="noConversion"/>
  </si>
  <si>
    <t>현재 헤더 로우가 두 개-&gt; 색 입혀 구분</t>
    <phoneticPr fontId="1" type="noConversion"/>
  </si>
  <si>
    <t>서울특별시 마포구 상암동 55</t>
    <phoneticPr fontId="1" type="noConversion"/>
  </si>
  <si>
    <t>저장 -&gt; 다른이름으로 저장 (기존파일에 덮어씌어지지 않음)</t>
    <phoneticPr fontId="1" type="noConversion"/>
  </si>
  <si>
    <t>2행 서식복사(왼쪽상단 붓모양 아이콘) -&gt; 1행에 적용</t>
    <phoneticPr fontId="1" type="noConversion"/>
  </si>
  <si>
    <t>데이터 타입 명확히</t>
    <phoneticPr fontId="1" type="noConversion"/>
  </si>
  <si>
    <t xml:space="preserve">연산이 가능한가를 기준으로 숫자와 텍스트로 나눔. 전화번호 -&gt; 텍스트 </t>
    <phoneticPr fontId="1" type="noConversion"/>
  </si>
  <si>
    <t>금액은 통화 혹은 획게로 기능은 다르지 않음</t>
    <phoneticPr fontId="1" type="noConversion"/>
  </si>
  <si>
    <t xml:space="preserve">더 자세한 형식은 기타 형식 </t>
    <phoneticPr fontId="1" type="noConversion"/>
  </si>
  <si>
    <t xml:space="preserve">필터 추가 -&gt; 마우스를 해당 셀에 두고 깔때기 모양 클릭 or ctrl + shift + L </t>
    <phoneticPr fontId="1" type="noConversion"/>
  </si>
  <si>
    <t>보기 -&gt; 첫행 고정 -&gt; 헤더고정됨</t>
    <phoneticPr fontId="1" type="noConversion"/>
  </si>
  <si>
    <t>보기 탭 -&gt;틀 고정 -&gt; 선택된 셀 기준 위와 옆이 고정됨</t>
    <phoneticPr fontId="1" type="noConversion"/>
  </si>
  <si>
    <t>필터 클릭 -&gt; 오름차순-&gt;팀별 오름차순하면 가나다로 정렬되어 같은 팀 보기도 쉬움</t>
    <phoneticPr fontId="1" type="noConversion"/>
  </si>
  <si>
    <t xml:space="preserve">홈 -&gt;정렬 및 필터 사용자 지정 </t>
    <phoneticPr fontId="1" type="noConversion"/>
  </si>
  <si>
    <t>마케팅팀-영업팀-기획팀-연구팀-개발팀 으로 정렬하고 싶다면?</t>
    <phoneticPr fontId="1" type="noConversion"/>
  </si>
  <si>
    <t xml:space="preserve">정렬 및 필터 -&gt; 사용자 지정클릭 -&gt; 정렬 옵션에서 사용자 지정 선택 -&gt; 새 목록 클릭 후, 마케팅팀, 영업팀, 기획팀, 연구팀, 개발팀 -&gt; 이렇게 엔터로 구분해서 넣고 클릭해줌. </t>
    <phoneticPr fontId="1" type="noConversion"/>
  </si>
  <si>
    <t>데이터가 있는 열, 행 선택 시 :ctrl+shift+방향키</t>
    <phoneticPr fontId="1" type="noConversion"/>
  </si>
  <si>
    <t>데이터 한 칸씩만 확장 시: shift + 방향키</t>
    <phoneticPr fontId="1" type="noConversion"/>
  </si>
  <si>
    <t xml:space="preserve">규칙 지우기 -&gt; 선택한 셀의 규칙지우기 </t>
    <phoneticPr fontId="1" type="noConversion"/>
  </si>
  <si>
    <t>조건부 서식 -&gt; 셀 강조 규칙(사용자 지정 서식도 가능)/상위하위항목</t>
    <phoneticPr fontId="1" type="noConversion"/>
  </si>
  <si>
    <t>색조 클릭: 가장큰값부터순차적 색깔 채우기</t>
    <phoneticPr fontId="1" type="noConversion"/>
  </si>
  <si>
    <t>중복값확인:셀강조규칙+중복값</t>
    <phoneticPr fontId="1" type="noConversion"/>
  </si>
  <si>
    <t>중복값제거: 데이터탭-&gt;데이터도구-&gt; 중복된항목제거버튼</t>
    <phoneticPr fontId="1" type="noConversion"/>
  </si>
  <si>
    <t xml:space="preserve">ㄴ열별로 선택도 가능. </t>
    <phoneticPr fontId="1" type="noConversion"/>
  </si>
  <si>
    <t>월급(원)</t>
    <phoneticPr fontId="1" type="noConversion"/>
  </si>
  <si>
    <t>수식 복사 -&gt; ctrl+c-&gt;ctrlv</t>
    <phoneticPr fontId="1" type="noConversion"/>
  </si>
  <si>
    <t>셀의 오른쪽하단에두고 십자로바뀌면 쭉끌어내리거나/두번클릭</t>
    <phoneticPr fontId="1" type="noConversion"/>
  </si>
  <si>
    <t xml:space="preserve">수식에 특정셀의 번호가 적힌 걸 참조라고 함. </t>
    <phoneticPr fontId="1" type="noConversion"/>
  </si>
  <si>
    <t>상대참조:셀을 참조할 때 상대적인 위치를 기억</t>
    <phoneticPr fontId="1" type="noConversion"/>
  </si>
  <si>
    <t xml:space="preserve">다른시트의 셀도 참조 가능 </t>
    <phoneticPr fontId="1" type="noConversion"/>
  </si>
  <si>
    <t xml:space="preserve">나이 차이 </t>
    <phoneticPr fontId="1" type="noConversion"/>
  </si>
  <si>
    <t>절대참조:f4키로 가장큰값 고정-&gt; 달러로 표시됨</t>
    <phoneticPr fontId="1" type="noConversion"/>
  </si>
  <si>
    <t xml:space="preserve">아니면 처음부터 $D$4 이렇게 해도 됨. </t>
    <phoneticPr fontId="1" type="noConversion"/>
  </si>
  <si>
    <t>혼합참조: L$1 &lt;-L열은 상대참조 $1이므로 1은 절대참조라는 의미</t>
    <phoneticPr fontId="1" type="noConversion"/>
  </si>
  <si>
    <t xml:space="preserve">f4한번누르면절대참조 | f4두번누르면 열은상대참조 행은 절대참조  </t>
    <phoneticPr fontId="1" type="noConversion"/>
  </si>
  <si>
    <t xml:space="preserve">f4세번누르면 열은 절대참조 행은 상대참조 </t>
    <phoneticPr fontId="1" type="noConversion"/>
  </si>
  <si>
    <t xml:space="preserve">$가 앞에 붙으면 절대참조다. </t>
    <phoneticPr fontId="1" type="noConversion"/>
  </si>
  <si>
    <t>연봉 데이터 요약</t>
    <phoneticPr fontId="1" type="noConversion"/>
  </si>
  <si>
    <t>평균</t>
    <phoneticPr fontId="1" type="noConversion"/>
  </si>
  <si>
    <t>shift+처음,끝 클릭 -&gt; 전체선택가능</t>
    <phoneticPr fontId="1" type="noConversion"/>
  </si>
  <si>
    <t>중앙값</t>
    <phoneticPr fontId="1" type="noConversion"/>
  </si>
  <si>
    <t>최빈값</t>
    <phoneticPr fontId="1" type="noConversion"/>
  </si>
  <si>
    <t>최댓값</t>
    <phoneticPr fontId="1" type="noConversion"/>
  </si>
  <si>
    <t>최솟값</t>
    <phoneticPr fontId="1" type="noConversion"/>
  </si>
  <si>
    <t>합계</t>
    <phoneticPr fontId="1" type="noConversion"/>
  </si>
  <si>
    <t>COUNTA(UNIQUE()): 고윳값 개수</t>
    <phoneticPr fontId="1" type="noConversion"/>
  </si>
  <si>
    <t>개수(텍스트)</t>
    <phoneticPr fontId="1" type="noConversion"/>
  </si>
  <si>
    <t>개수(숫자)</t>
    <phoneticPr fontId="1" type="noConversion"/>
  </si>
  <si>
    <t>고윳값 개수</t>
    <phoneticPr fontId="1" type="noConversion"/>
  </si>
  <si>
    <t xml:space="preserve">평균 나이로부터의 차이 </t>
    <phoneticPr fontId="1" type="noConversion"/>
  </si>
  <si>
    <t>절댓값</t>
    <phoneticPr fontId="1" type="noConversion"/>
  </si>
  <si>
    <t>반올림</t>
    <phoneticPr fontId="1" type="noConversion"/>
  </si>
  <si>
    <t>올림</t>
    <phoneticPr fontId="1" type="noConversion"/>
  </si>
  <si>
    <t>내림</t>
    <phoneticPr fontId="1" type="noConversion"/>
  </si>
  <si>
    <t>TRUNC</t>
    <phoneticPr fontId="1" type="noConversion"/>
  </si>
  <si>
    <t>연봉 순위</t>
    <phoneticPr fontId="1" type="noConversion"/>
  </si>
  <si>
    <t>연봉순위-오름차순</t>
    <phoneticPr fontId="1" type="noConversion"/>
  </si>
  <si>
    <t>연봉5위</t>
    <phoneticPr fontId="1" type="noConversion"/>
  </si>
  <si>
    <t>오늘날짜</t>
    <phoneticPr fontId="1" type="noConversion"/>
  </si>
  <si>
    <t>경과일수</t>
    <phoneticPr fontId="1" type="noConversion"/>
  </si>
  <si>
    <t>햇수</t>
    <phoneticPr fontId="1" type="noConversion"/>
  </si>
  <si>
    <t>연차(햇수+1)</t>
    <phoneticPr fontId="1" type="noConversion"/>
  </si>
  <si>
    <t xml:space="preserve">TODAY():오늘 날짜 알려주는 함수
NOW(): 오늘 날짜 + 시간 알려주는 함수
고정인 값은 절대참조 $ $로 두기!
YEAR():날짜에서 연도만 추출할 때
MONTH():날짜에서 월만 추출할 때
DAYOFMONTH():날짜에서 일만 추출할 때
WEEKDAY(날짜, 반환 유형(선택항목)):날짜에서 요일 정보 추출할 때
반환유형: (일: 1, 월: 2, 화: 3, 수:4, 목: 5, 금: 6, 토: 7): 기본값 1
              (월: 1, 화: 2, 수:3, 목: 4, 금:5, 토: 6, 일 7): 2
=TEXT(숫자요일정보,"aaaa") : 요일 정보 출력
"aaaa" :한글
"dddd" : Monday(영문 긴 버전)
"ddd" : Mon(영문 짧은 버전)
DATE(연, 월, 일):날짜정보 만드는 함수
Time():시간데이터
HOUR(시간데이터셀): 시
MINUTE(시간데이터셀): 분
SECOND(시간데이터셀): 초
</t>
    <phoneticPr fontId="1" type="noConversion"/>
  </si>
  <si>
    <t>연봉 조건</t>
    <phoneticPr fontId="1" type="noConversion"/>
  </si>
  <si>
    <t>호칭</t>
    <phoneticPr fontId="1" type="noConversion"/>
  </si>
  <si>
    <t>구분</t>
    <phoneticPr fontId="1" type="noConversion"/>
  </si>
  <si>
    <t>나이대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</si>
  <si>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IF(조건식, 조건식이 참일 경우 반환할 내용, 조건식이 거짓일 경우 반환할 내용)</t>
    </r>
    <r>
      <rPr>
        <sz val="12"/>
        <color theme="1"/>
        <rFont val="맑은 고딕"/>
        <family val="2"/>
        <charset val="129"/>
        <scheme val="minor"/>
      </rPr>
      <t xml:space="preserve">
&lt;&gt;: 불일치
&lt;조건을 여러 개 중첩하여 사용할 경우&gt;-&gt; AND(조건1, 조건2): 둘 다 충족 / OR(조건1, 조건2): 둘 중 하나만 충족
입사한지 3년 이내 &amp; 직위가 사원 , JUNIOR, SENIOR
=IF(OR((TODAY()- E5)/365&lt;=3, L2G5="사원"),"주니어","시니어")
</t>
    </r>
    <r>
      <rPr>
        <b/>
        <sz val="12"/>
        <color theme="1"/>
        <rFont val="맑은 고딕"/>
        <family val="3"/>
        <charset val="129"/>
        <scheme val="minor"/>
      </rPr>
      <t>&lt;여러 조건을 순차적으로 검사하고 싶다면?&gt;
IFS(조건식1, 조건식1이 참일 경우 반환할 내용, 조건식2, 조건식2가 참일 경우 반환할 내용,...)
=IFS(D3&gt;=40,"40대", D3&gt;=30, "30대", TRUE,"20대")
-&gt; 그 외인 경우로 작성하고 싶은 경우, TRUE 사용 : 조건식을 안 써준 것과도 같음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COUNTIF(탐색 범위, "찾는 조건"): 조건에 맞는 데이터 개수를 세주는 함수</t>
    </r>
    <r>
      <rPr>
        <sz val="12"/>
        <color theme="1"/>
        <rFont val="맑은 고딕"/>
        <family val="3"/>
        <charset val="129"/>
        <scheme val="minor"/>
      </rPr>
      <t xml:space="preserve"> 
* 찾는 조건은 늘 큰따옴표로 감싸줘야 함.
=COUNTIF(I2:I21,"&gt;=AVERAGE(I2:I21)") #틀림(AVERAGE가 ""안으로 들어가면서 텍스트 취급되었기 때문)
~&gt;COUNTIF("&gt;="&amp;AVERAGE(I2:I21)) 부등호만 ""로 감싸고 수식은&amp;로 연결시켜줌. 
</t>
    </r>
    <r>
      <rPr>
        <b/>
        <sz val="12"/>
        <color theme="1"/>
        <rFont val="맑은 고딕"/>
        <family val="3"/>
        <charset val="129"/>
        <scheme val="minor"/>
      </rPr>
      <t xml:space="preserve">&lt;조건을 여러 개 중첩해서 조사하고 싶은 경우&gt;
COUNTIFS(탐색 범위1, "범위1에서 찾는 조건", 탐색 범위2, "범위2에서 찾는 조건", ...)
&lt;평균을 집계하는 조건 함수&gt;
AVERAGEIF(탐색 범위, 찾는 조건, 평균을 계산할 범위)
=AVERAGEIF(G2:G21,"과장",I2:I21) -&gt;과장급의 평균 연봉
AVERAGEIFS(평균을 계산할 범위, 탐색 범위1, 범위1에서 찾는 조건, 탐색 범위2, 범위2에서 찾는 조건, ...) 
-&gt; 평균을 계산할 범위가 앞에 온다는 점이 특이점
=AVERAGEIFS(I2:I21,G2:G21,"대리",D2:D21,"&lt;=30")
SUMIF(탐색 범위, 찾는 조건, 합산할 범위): 조건에 맞는 값들을 모두 더해줌. 
=SUMIFS(I2:I21,F2:F21,"마케팅팀",H2:H21,"&lt;&gt;팀장")
</t>
    </r>
    <r>
      <rPr>
        <sz val="12"/>
        <color theme="1"/>
        <rFont val="맑은 고딕"/>
        <family val="3"/>
        <charset val="129"/>
        <scheme val="minor"/>
      </rPr>
      <t xml:space="preserve">
 </t>
    </r>
    <phoneticPr fontId="1" type="noConversion"/>
  </si>
  <si>
    <t>AVERAGE(): 평균
MEDIAN(): 중앙값
MODE(): 최빈값
MAX(): 최대값
MIN(): 최소값
SUM(): 합계
COUNT():  개수(숫자)
COUNTA(): 개수(텍스트, 숫자)</t>
    <phoneticPr fontId="1" type="noConversion"/>
  </si>
  <si>
    <r>
      <t xml:space="preserve">&lt;순서 함수&gt;
</t>
    </r>
    <r>
      <rPr>
        <b/>
        <sz val="12"/>
        <color theme="1"/>
        <rFont val="맑은 고딕"/>
        <family val="3"/>
        <charset val="129"/>
        <scheme val="minor"/>
      </rPr>
      <t>RANK.EQ(순위를 계산할 대상 수치, 전체 수치 범위, (정렬 옵션))</t>
    </r>
    <r>
      <rPr>
        <sz val="12"/>
        <color theme="1"/>
        <rFont val="맑은 고딕"/>
        <family val="2"/>
        <charset val="129"/>
        <scheme val="minor"/>
      </rPr>
      <t xml:space="preserve">
-&gt; 이중 1,2번째는 필수 항목이고, 3번째는 선택 항목(기본값 0; 내림차순)
정렬 옵션 1; 오름차순
</t>
    </r>
    <r>
      <rPr>
        <b/>
        <sz val="12"/>
        <color theme="1"/>
        <rFont val="맑은 고딕"/>
        <family val="3"/>
        <charset val="129"/>
        <scheme val="minor"/>
      </rPr>
      <t>LARGE(순위를 계산할 전체 수치 범위, 타깃 순위): ~번 째로 큰 값을 구할 때</t>
    </r>
    <r>
      <rPr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SMALL(순위를 계산할 전체 수치 범위, 타킷 순위): ~번 째로 작은 값을 구할 때</t>
    </r>
    <r>
      <rPr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PERCENTILE.INC(퍼센트를 계산할 전체 수치 범위, 타깃 퍼센트)</t>
    </r>
    <r>
      <rPr>
        <sz val="12"/>
        <color theme="1"/>
        <rFont val="맑은 고딕"/>
        <family val="2"/>
        <charset val="129"/>
        <scheme val="minor"/>
      </rPr>
      <t xml:space="preserve">
-&gt;PERCENTILE.INC(퍼센트를 계산할 전체 수치 범위, </t>
    </r>
    <r>
      <rPr>
        <u/>
        <sz val="12"/>
        <color theme="1"/>
        <rFont val="맑은 고딕"/>
        <family val="3"/>
        <charset val="129"/>
        <scheme val="minor"/>
      </rPr>
      <t>0</t>
    </r>
    <r>
      <rPr>
        <sz val="12"/>
        <color theme="1"/>
        <rFont val="맑은 고딕"/>
        <family val="2"/>
        <charset val="129"/>
        <scheme val="minor"/>
      </rPr>
      <t xml:space="preserve">): 해당 범위값의 </t>
    </r>
    <r>
      <rPr>
        <u/>
        <sz val="12"/>
        <color theme="1"/>
        <rFont val="맑은 고딕"/>
        <family val="3"/>
        <charset val="129"/>
        <scheme val="minor"/>
      </rPr>
      <t>최솟값</t>
    </r>
    <r>
      <rPr>
        <sz val="12"/>
        <color theme="1"/>
        <rFont val="맑은 고딕"/>
        <family val="2"/>
        <charset val="129"/>
        <scheme val="minor"/>
      </rPr>
      <t xml:space="preserve"> 반환
-&gt;PERCENTILE.INC(퍼센트를 계산할 전체 수치 범위, </t>
    </r>
    <r>
      <rPr>
        <u/>
        <sz val="12"/>
        <color theme="1"/>
        <rFont val="맑은 고딕"/>
        <family val="3"/>
        <charset val="129"/>
        <scheme val="minor"/>
      </rPr>
      <t>1</t>
    </r>
    <r>
      <rPr>
        <sz val="12"/>
        <color theme="1"/>
        <rFont val="맑은 고딕"/>
        <family val="2"/>
        <charset val="129"/>
        <scheme val="minor"/>
      </rPr>
      <t xml:space="preserve">): 해당 범위값의 </t>
    </r>
    <r>
      <rPr>
        <u/>
        <sz val="12"/>
        <color theme="1"/>
        <rFont val="맑은 고딕"/>
        <family val="3"/>
        <charset val="129"/>
        <scheme val="minor"/>
      </rPr>
      <t>최댓값</t>
    </r>
    <r>
      <rPr>
        <sz val="12"/>
        <color theme="1"/>
        <rFont val="맑은 고딕"/>
        <family val="2"/>
        <charset val="129"/>
        <scheme val="minor"/>
      </rPr>
      <t xml:space="preserve"> 반환
-&gt;만약 데이터 내에 정확한 퍼센트 위치의 값이 없다면 인접한 두 값을 활용해 결과값을 계산해줌. </t>
    </r>
    <phoneticPr fontId="1" type="noConversion"/>
  </si>
  <si>
    <r>
      <t>&lt;수학함수&gt;
평균나이로부터차이: =AVERAGE($D$2:$D$21)-D2
(평균-해당셀)-&gt;</t>
    </r>
    <r>
      <rPr>
        <u/>
        <sz val="12"/>
        <color theme="1"/>
        <rFont val="맑은 고딕"/>
        <family val="3"/>
        <charset val="129"/>
        <scheme val="minor"/>
      </rPr>
      <t>음수도 볼려면 '일반'으로 데이터 타입 변환</t>
    </r>
    <r>
      <rPr>
        <sz val="12"/>
        <color theme="1"/>
        <rFont val="맑은 고딕"/>
        <family val="2"/>
        <charset val="129"/>
        <scheme val="minor"/>
      </rPr>
      <t xml:space="preserve">
=&gt;그러나 차이를 보려면 |절댓값|이 더 좋음 ABS()
반올림 : ROUND(셀주소,소수점자리수)
올림: ROUNDUP(셀주소,소수점자리수)
내림: ROUNDDOWN(셀주소,소수점자리수)
정수로 내림: TRUNC(셀주소)
정수: INT(셀주소)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</si>
</sst>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&quot;₩&quot;#,##0_);[Red]\(&quot;₩&quot;#,##0\)"/>
    <numFmt numFmtId="178" formatCode="yyyy&quot;년&quot;\ m&quot;월&quot;\ d&quot;일&quot;;@"/>
    <numFmt numFmtId="179" formatCode="&quot;₩&quot;#,##0.00_);[Red]\(&quot;₩&quot;#,##0.00\)"/>
  </numFmts>
  <fonts count="6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>
      <alignment vertical="center"/>
    </xf>
    <xf numFmtId="178" fontId="0" fillId="2" borderId="0" xfId="0" applyNumberFormat="1" applyFill="1">
      <alignment vertical="center"/>
    </xf>
    <xf numFmtId="0" fontId="0" fillId="2" borderId="0" xfId="0" applyFill="1">
      <alignment vertical="center"/>
    </xf>
    <xf numFmtId="177" fontId="0" fillId="2" borderId="0" xfId="1" applyNumberFormat="1" applyFont="1" applyFill="1" applyBorder="1">
      <alignment vertical="center"/>
    </xf>
    <xf numFmtId="0" fontId="0" fillId="2" borderId="0" xfId="0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177" fontId="0" fillId="2" borderId="0" xfId="1" applyNumberFormat="1" applyFont="1" applyFill="1" applyBorder="1" applyAlignment="1">
      <alignment horizontal="left" vertical="center"/>
    </xf>
    <xf numFmtId="177" fontId="0" fillId="2" borderId="0" xfId="0" applyNumberFormat="1" applyFill="1">
      <alignment vertical="center"/>
    </xf>
    <xf numFmtId="179" fontId="0" fillId="2" borderId="0" xfId="0" applyNumberFormat="1" applyFill="1">
      <alignment vertical="center"/>
    </xf>
    <xf numFmtId="9" fontId="0" fillId="2" borderId="0" xfId="0" applyNumberFormat="1" applyFill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2" fontId="0" fillId="0" borderId="0" xfId="2" applyFont="1">
      <alignment vertical="center"/>
    </xf>
    <xf numFmtId="0" fontId="0" fillId="4" borderId="0" xfId="0" applyFill="1">
      <alignment vertical="center"/>
    </xf>
    <xf numFmtId="178" fontId="0" fillId="4" borderId="0" xfId="0" applyNumberFormat="1" applyFill="1">
      <alignment vertical="center"/>
    </xf>
    <xf numFmtId="177" fontId="0" fillId="4" borderId="0" xfId="1" applyNumberFormat="1" applyFont="1" applyFill="1" applyBorder="1">
      <alignment vertical="center"/>
    </xf>
    <xf numFmtId="178" fontId="0" fillId="4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F4D2-D8DB-D340-884C-C8488AD654D7}">
  <dimension ref="A1:R43"/>
  <sheetViews>
    <sheetView topLeftCell="C1" zoomScale="77" zoomScaleNormal="85" workbookViewId="0">
      <pane ySplit="1" topLeftCell="A19" activePane="bottomLeft" state="frozen"/>
      <selection pane="bottomLeft" activeCell="N54" sqref="N54"/>
    </sheetView>
  </sheetViews>
  <sheetFormatPr defaultColWidth="11.07421875" defaultRowHeight="17.5" x14ac:dyDescent="0.45"/>
  <cols>
    <col min="1" max="1" width="11.07421875" style="4" customWidth="1"/>
    <col min="2" max="2" width="29.84375" style="4" bestFit="1" customWidth="1"/>
    <col min="3" max="3" width="14.3046875" style="4" bestFit="1" customWidth="1"/>
    <col min="4" max="4" width="7.921875" style="2" customWidth="1"/>
    <col min="5" max="5" width="11.61328125" style="2" customWidth="1"/>
    <col min="6" max="6" width="16.3828125" style="3" bestFit="1" customWidth="1"/>
    <col min="7" max="8" width="11.07421875" style="4"/>
    <col min="9" max="9" width="9.15234375" style="4" customWidth="1"/>
    <col min="10" max="10" width="13.53515625" style="5" bestFit="1" customWidth="1"/>
    <col min="11" max="11" width="14.84375" style="4" customWidth="1"/>
    <col min="12" max="12" width="14.765625" style="4" bestFit="1" customWidth="1"/>
    <col min="13" max="13" width="15.3828125" style="4" bestFit="1" customWidth="1"/>
    <col min="14" max="14" width="16.07421875" style="4" bestFit="1" customWidth="1"/>
    <col min="15" max="16384" width="11.07421875" style="4"/>
  </cols>
  <sheetData>
    <row r="1" spans="1:15" s="1" customFormat="1" x14ac:dyDescent="0.45">
      <c r="A1" s="7" t="s">
        <v>76</v>
      </c>
      <c r="B1" s="7" t="s">
        <v>0</v>
      </c>
      <c r="C1" s="7" t="s">
        <v>1</v>
      </c>
      <c r="D1" s="8" t="s">
        <v>4</v>
      </c>
      <c r="E1" s="8" t="s">
        <v>120</v>
      </c>
      <c r="F1" s="9" t="s">
        <v>74</v>
      </c>
      <c r="G1" s="6" t="s">
        <v>2</v>
      </c>
      <c r="H1" s="6" t="s">
        <v>75</v>
      </c>
      <c r="I1" s="6" t="s">
        <v>3</v>
      </c>
      <c r="J1" s="10" t="s">
        <v>77</v>
      </c>
      <c r="K1" s="1" t="s">
        <v>114</v>
      </c>
      <c r="L1" s="13">
        <v>0.05</v>
      </c>
      <c r="M1" s="13">
        <v>0.1</v>
      </c>
      <c r="N1" s="13">
        <v>0.15</v>
      </c>
    </row>
    <row r="2" spans="1:15" x14ac:dyDescent="0.45">
      <c r="A2" s="7" t="s">
        <v>45</v>
      </c>
      <c r="B2" s="7" t="s">
        <v>46</v>
      </c>
      <c r="C2" s="7" t="s">
        <v>47</v>
      </c>
      <c r="D2" s="8">
        <v>44</v>
      </c>
      <c r="E2" s="8">
        <f>$D$14 -D2</f>
        <v>5</v>
      </c>
      <c r="F2" s="9">
        <v>40073</v>
      </c>
      <c r="G2" s="6" t="s">
        <v>48</v>
      </c>
      <c r="H2" s="6" t="s">
        <v>26</v>
      </c>
      <c r="I2" s="6" t="s">
        <v>10</v>
      </c>
      <c r="J2" s="10">
        <v>11500</v>
      </c>
      <c r="K2" s="11">
        <f>(J2/12)*10000</f>
        <v>9583333.333333334</v>
      </c>
      <c r="L2" s="12">
        <f>$K2*L$1</f>
        <v>479166.66666666674</v>
      </c>
      <c r="M2" s="12">
        <f>$K2*M$1</f>
        <v>958333.33333333349</v>
      </c>
      <c r="N2" s="11">
        <f>$K2*N$1</f>
        <v>1437500</v>
      </c>
    </row>
    <row r="3" spans="1:15" x14ac:dyDescent="0.45">
      <c r="A3" s="7" t="s">
        <v>49</v>
      </c>
      <c r="B3" s="7" t="s">
        <v>50</v>
      </c>
      <c r="C3" s="7" t="s">
        <v>51</v>
      </c>
      <c r="D3" s="8">
        <v>38</v>
      </c>
      <c r="E3" s="8">
        <f t="shared" ref="E3:E21" si="0">$D$14 -D3</f>
        <v>11</v>
      </c>
      <c r="F3" s="9">
        <v>41430</v>
      </c>
      <c r="G3" s="6" t="s">
        <v>48</v>
      </c>
      <c r="H3" s="6" t="s">
        <v>21</v>
      </c>
      <c r="I3" s="6"/>
      <c r="J3" s="10">
        <v>6700</v>
      </c>
      <c r="K3" s="11">
        <f t="shared" ref="K3:K21" si="1">(J3/12)*10000</f>
        <v>5583333.333333334</v>
      </c>
      <c r="L3" s="12">
        <f>$K3*L$1</f>
        <v>279166.66666666669</v>
      </c>
      <c r="M3" s="12">
        <f t="shared" ref="M3:N21" si="2">$K3*M$1</f>
        <v>558333.33333333337</v>
      </c>
      <c r="N3" s="11">
        <f>$K3*N$1</f>
        <v>837500.00000000012</v>
      </c>
    </row>
    <row r="4" spans="1:15" x14ac:dyDescent="0.45">
      <c r="A4" s="7" t="s">
        <v>55</v>
      </c>
      <c r="B4" s="7" t="s">
        <v>56</v>
      </c>
      <c r="C4" s="7" t="s">
        <v>57</v>
      </c>
      <c r="D4" s="8">
        <v>29</v>
      </c>
      <c r="E4" s="8">
        <f>$D$14 -D4</f>
        <v>20</v>
      </c>
      <c r="F4" s="9">
        <v>44027</v>
      </c>
      <c r="G4" s="6" t="s">
        <v>48</v>
      </c>
      <c r="H4" s="6" t="s">
        <v>14</v>
      </c>
      <c r="I4" s="6"/>
      <c r="J4" s="10">
        <v>4900</v>
      </c>
      <c r="K4" s="11">
        <f t="shared" si="1"/>
        <v>4083333.333333333</v>
      </c>
      <c r="L4" s="12">
        <f t="shared" ref="L4:L21" si="3">$K4*L$1</f>
        <v>204166.66666666666</v>
      </c>
      <c r="M4" s="12">
        <f t="shared" si="2"/>
        <v>408333.33333333331</v>
      </c>
      <c r="N4" s="11">
        <f t="shared" si="2"/>
        <v>612499.99999999988</v>
      </c>
    </row>
    <row r="5" spans="1:15" x14ac:dyDescent="0.45">
      <c r="A5" s="7" t="s">
        <v>52</v>
      </c>
      <c r="B5" s="7" t="s">
        <v>53</v>
      </c>
      <c r="C5" s="7" t="s">
        <v>54</v>
      </c>
      <c r="D5" s="8">
        <v>26</v>
      </c>
      <c r="E5" s="8">
        <f t="shared" si="0"/>
        <v>23</v>
      </c>
      <c r="F5" s="9">
        <v>44613</v>
      </c>
      <c r="G5" s="6" t="s">
        <v>48</v>
      </c>
      <c r="H5" s="6" t="s">
        <v>17</v>
      </c>
      <c r="I5" s="6"/>
      <c r="J5" s="10">
        <v>3400</v>
      </c>
      <c r="K5" s="11">
        <f t="shared" si="1"/>
        <v>2833333.333333333</v>
      </c>
      <c r="L5" s="12">
        <f t="shared" si="3"/>
        <v>141666.66666666666</v>
      </c>
      <c r="M5" s="12">
        <f t="shared" si="2"/>
        <v>283333.33333333331</v>
      </c>
      <c r="N5" s="11">
        <f t="shared" si="2"/>
        <v>424999.99999999994</v>
      </c>
    </row>
    <row r="6" spans="1:15" x14ac:dyDescent="0.45">
      <c r="A6" s="7" t="s">
        <v>5</v>
      </c>
      <c r="B6" s="7" t="s">
        <v>6</v>
      </c>
      <c r="C6" s="7" t="s">
        <v>7</v>
      </c>
      <c r="D6" s="8">
        <v>48</v>
      </c>
      <c r="E6" s="8">
        <f t="shared" si="0"/>
        <v>1</v>
      </c>
      <c r="F6" s="9">
        <v>38426</v>
      </c>
      <c r="G6" s="6" t="s">
        <v>8</v>
      </c>
      <c r="H6" s="6" t="s">
        <v>9</v>
      </c>
      <c r="I6" s="6" t="s">
        <v>10</v>
      </c>
      <c r="J6" s="10">
        <v>12000</v>
      </c>
      <c r="K6" s="11">
        <f t="shared" si="1"/>
        <v>10000000</v>
      </c>
      <c r="L6" s="12">
        <f t="shared" si="3"/>
        <v>500000</v>
      </c>
      <c r="M6" s="12">
        <f t="shared" si="2"/>
        <v>1000000</v>
      </c>
      <c r="N6" s="11">
        <f t="shared" si="2"/>
        <v>1500000</v>
      </c>
    </row>
    <row r="7" spans="1:15" x14ac:dyDescent="0.45">
      <c r="A7" s="7" t="s">
        <v>18</v>
      </c>
      <c r="B7" s="7" t="s">
        <v>19</v>
      </c>
      <c r="C7" s="7" t="s">
        <v>20</v>
      </c>
      <c r="D7" s="8">
        <v>36</v>
      </c>
      <c r="E7" s="8">
        <f t="shared" si="0"/>
        <v>13</v>
      </c>
      <c r="F7" s="9">
        <v>41905</v>
      </c>
      <c r="G7" s="6" t="s">
        <v>8</v>
      </c>
      <c r="H7" s="6" t="s">
        <v>21</v>
      </c>
      <c r="I7" s="6"/>
      <c r="J7" s="10">
        <v>6000</v>
      </c>
      <c r="K7" s="11">
        <f t="shared" si="1"/>
        <v>5000000</v>
      </c>
      <c r="L7" s="12">
        <f t="shared" si="3"/>
        <v>250000</v>
      </c>
      <c r="M7" s="12">
        <f t="shared" si="2"/>
        <v>500000</v>
      </c>
      <c r="N7" s="11">
        <f t="shared" si="2"/>
        <v>750000</v>
      </c>
    </row>
    <row r="8" spans="1:15" x14ac:dyDescent="0.45">
      <c r="A8" s="7" t="s">
        <v>11</v>
      </c>
      <c r="B8" s="7" t="s">
        <v>12</v>
      </c>
      <c r="C8" s="7" t="s">
        <v>13</v>
      </c>
      <c r="D8" s="8">
        <v>30</v>
      </c>
      <c r="E8" s="8">
        <f t="shared" si="0"/>
        <v>19</v>
      </c>
      <c r="F8" s="9">
        <v>43282</v>
      </c>
      <c r="G8" s="6" t="s">
        <v>8</v>
      </c>
      <c r="H8" s="6" t="s">
        <v>14</v>
      </c>
      <c r="I8" s="6"/>
      <c r="J8" s="10">
        <v>4800</v>
      </c>
      <c r="K8" s="11">
        <f t="shared" si="1"/>
        <v>4000000</v>
      </c>
      <c r="L8" s="12">
        <f t="shared" si="3"/>
        <v>200000</v>
      </c>
      <c r="M8" s="12">
        <f t="shared" si="2"/>
        <v>400000</v>
      </c>
      <c r="N8" s="11">
        <f t="shared" si="2"/>
        <v>600000</v>
      </c>
    </row>
    <row r="9" spans="1:15" x14ac:dyDescent="0.45">
      <c r="A9" s="7" t="s">
        <v>82</v>
      </c>
      <c r="B9" s="7" t="s">
        <v>15</v>
      </c>
      <c r="C9" s="7" t="s">
        <v>16</v>
      </c>
      <c r="D9" s="8">
        <v>26</v>
      </c>
      <c r="E9" s="8">
        <f t="shared" si="0"/>
        <v>23</v>
      </c>
      <c r="F9" s="9">
        <v>44571</v>
      </c>
      <c r="G9" s="6" t="s">
        <v>8</v>
      </c>
      <c r="H9" s="6" t="s">
        <v>17</v>
      </c>
      <c r="I9" s="6"/>
      <c r="J9" s="10">
        <v>3600</v>
      </c>
      <c r="K9" s="11">
        <f t="shared" si="1"/>
        <v>3000000</v>
      </c>
      <c r="L9" s="12">
        <f t="shared" si="3"/>
        <v>150000</v>
      </c>
      <c r="M9" s="12">
        <f t="shared" si="2"/>
        <v>300000</v>
      </c>
      <c r="N9" s="11">
        <f t="shared" si="2"/>
        <v>450000</v>
      </c>
    </row>
    <row r="10" spans="1:15" x14ac:dyDescent="0.45">
      <c r="A10" s="7" t="s">
        <v>22</v>
      </c>
      <c r="B10" s="7" t="s">
        <v>23</v>
      </c>
      <c r="C10" s="7" t="s">
        <v>24</v>
      </c>
      <c r="D10" s="8">
        <v>45</v>
      </c>
      <c r="E10" s="8">
        <f t="shared" si="0"/>
        <v>4</v>
      </c>
      <c r="F10" s="9">
        <v>39757</v>
      </c>
      <c r="G10" s="6" t="s">
        <v>25</v>
      </c>
      <c r="H10" s="6" t="s">
        <v>26</v>
      </c>
      <c r="I10" s="6" t="s">
        <v>10</v>
      </c>
      <c r="J10" s="10">
        <v>11000</v>
      </c>
      <c r="K10" s="11">
        <f t="shared" si="1"/>
        <v>9166666.666666666</v>
      </c>
      <c r="L10" s="12">
        <f t="shared" si="3"/>
        <v>458333.33333333331</v>
      </c>
      <c r="M10" s="12">
        <f t="shared" si="2"/>
        <v>916666.66666666663</v>
      </c>
      <c r="N10" s="11">
        <f t="shared" si="2"/>
        <v>1374999.9999999998</v>
      </c>
    </row>
    <row r="11" spans="1:15" x14ac:dyDescent="0.45">
      <c r="A11" s="7" t="s">
        <v>71</v>
      </c>
      <c r="B11" s="7" t="s">
        <v>72</v>
      </c>
      <c r="C11" s="7" t="s">
        <v>73</v>
      </c>
      <c r="D11" s="8">
        <v>34</v>
      </c>
      <c r="E11" s="8">
        <f t="shared" si="0"/>
        <v>15</v>
      </c>
      <c r="F11" s="9">
        <v>42606</v>
      </c>
      <c r="G11" s="6" t="s">
        <v>25</v>
      </c>
      <c r="H11" s="6" t="s">
        <v>21</v>
      </c>
      <c r="I11" s="6"/>
      <c r="J11" s="10">
        <v>6900</v>
      </c>
      <c r="K11" s="11">
        <f t="shared" si="1"/>
        <v>5750000</v>
      </c>
      <c r="L11" s="12">
        <f t="shared" si="3"/>
        <v>287500</v>
      </c>
      <c r="M11" s="12">
        <f t="shared" si="2"/>
        <v>575000</v>
      </c>
      <c r="N11" s="11">
        <f t="shared" si="2"/>
        <v>862500</v>
      </c>
    </row>
    <row r="12" spans="1:15" x14ac:dyDescent="0.45">
      <c r="A12" s="7" t="s">
        <v>27</v>
      </c>
      <c r="B12" s="7" t="s">
        <v>28</v>
      </c>
      <c r="C12" s="7" t="s">
        <v>29</v>
      </c>
      <c r="D12" s="8">
        <v>31</v>
      </c>
      <c r="E12" s="8">
        <f t="shared" si="0"/>
        <v>18</v>
      </c>
      <c r="F12" s="9">
        <v>43542</v>
      </c>
      <c r="G12" s="6" t="s">
        <v>25</v>
      </c>
      <c r="H12" s="6" t="s">
        <v>14</v>
      </c>
      <c r="I12" s="6"/>
      <c r="J12" s="10">
        <v>5100</v>
      </c>
      <c r="K12" s="11">
        <f t="shared" si="1"/>
        <v>4250000</v>
      </c>
      <c r="L12" s="12">
        <f t="shared" si="3"/>
        <v>212500</v>
      </c>
      <c r="M12" s="12">
        <f t="shared" si="2"/>
        <v>425000</v>
      </c>
      <c r="N12" s="11">
        <f t="shared" si="2"/>
        <v>637500</v>
      </c>
      <c r="O12" s="6"/>
    </row>
    <row r="13" spans="1:15" x14ac:dyDescent="0.45">
      <c r="A13" s="7" t="s">
        <v>30</v>
      </c>
      <c r="B13" s="7" t="s">
        <v>92</v>
      </c>
      <c r="C13" s="7" t="s">
        <v>31</v>
      </c>
      <c r="D13" s="8">
        <v>27</v>
      </c>
      <c r="E13" s="8">
        <f t="shared" si="0"/>
        <v>22</v>
      </c>
      <c r="F13" s="9">
        <v>44410</v>
      </c>
      <c r="G13" s="6" t="s">
        <v>25</v>
      </c>
      <c r="H13" s="6" t="s">
        <v>17</v>
      </c>
      <c r="I13" s="6"/>
      <c r="J13" s="10">
        <v>3400</v>
      </c>
      <c r="K13" s="11">
        <f t="shared" si="1"/>
        <v>2833333.333333333</v>
      </c>
      <c r="L13" s="12">
        <f t="shared" si="3"/>
        <v>141666.66666666666</v>
      </c>
      <c r="M13" s="12">
        <f t="shared" si="2"/>
        <v>283333.33333333331</v>
      </c>
      <c r="N13" s="11">
        <f t="shared" si="2"/>
        <v>424999.99999999994</v>
      </c>
      <c r="O13" s="6"/>
    </row>
    <row r="14" spans="1:15" x14ac:dyDescent="0.45">
      <c r="A14" s="7" t="s">
        <v>58</v>
      </c>
      <c r="B14" s="7" t="s">
        <v>59</v>
      </c>
      <c r="C14" s="7" t="s">
        <v>60</v>
      </c>
      <c r="D14" s="8">
        <v>49</v>
      </c>
      <c r="E14" s="8">
        <f t="shared" si="0"/>
        <v>0</v>
      </c>
      <c r="F14" s="9">
        <v>37679</v>
      </c>
      <c r="G14" s="6" t="s">
        <v>61</v>
      </c>
      <c r="H14" s="6" t="s">
        <v>9</v>
      </c>
      <c r="I14" s="6" t="s">
        <v>10</v>
      </c>
      <c r="J14" s="10">
        <v>14500</v>
      </c>
      <c r="K14" s="11">
        <f t="shared" si="1"/>
        <v>12083333.333333332</v>
      </c>
      <c r="L14" s="12">
        <f t="shared" si="3"/>
        <v>604166.66666666663</v>
      </c>
      <c r="M14" s="12">
        <f t="shared" si="2"/>
        <v>1208333.3333333333</v>
      </c>
      <c r="N14" s="11">
        <f t="shared" si="2"/>
        <v>1812499.9999999998</v>
      </c>
      <c r="O14" s="6"/>
    </row>
    <row r="15" spans="1:15" x14ac:dyDescent="0.45">
      <c r="A15" s="7" t="s">
        <v>62</v>
      </c>
      <c r="B15" s="7" t="s">
        <v>63</v>
      </c>
      <c r="C15" s="7" t="s">
        <v>64</v>
      </c>
      <c r="D15" s="8">
        <v>37</v>
      </c>
      <c r="E15" s="8">
        <f>$D$14 -D15</f>
        <v>12</v>
      </c>
      <c r="F15" s="9">
        <v>41242</v>
      </c>
      <c r="G15" s="6" t="s">
        <v>61</v>
      </c>
      <c r="H15" s="6" t="s">
        <v>21</v>
      </c>
      <c r="I15" s="6"/>
      <c r="J15" s="10">
        <v>7500</v>
      </c>
      <c r="K15" s="11">
        <f t="shared" si="1"/>
        <v>6250000</v>
      </c>
      <c r="L15" s="12">
        <f t="shared" si="3"/>
        <v>312500</v>
      </c>
      <c r="M15" s="12">
        <f t="shared" si="2"/>
        <v>625000</v>
      </c>
      <c r="N15" s="11">
        <f t="shared" si="2"/>
        <v>937500</v>
      </c>
      <c r="O15" s="6"/>
    </row>
    <row r="16" spans="1:15" x14ac:dyDescent="0.45">
      <c r="A16" s="7" t="s">
        <v>65</v>
      </c>
      <c r="B16" s="7" t="s">
        <v>66</v>
      </c>
      <c r="C16" s="7" t="s">
        <v>67</v>
      </c>
      <c r="D16" s="8">
        <v>30</v>
      </c>
      <c r="E16" s="8">
        <f t="shared" si="0"/>
        <v>19</v>
      </c>
      <c r="F16" s="9">
        <v>43385</v>
      </c>
      <c r="G16" s="6" t="s">
        <v>61</v>
      </c>
      <c r="H16" s="6" t="s">
        <v>14</v>
      </c>
      <c r="I16" s="6"/>
      <c r="J16" s="10">
        <v>5800</v>
      </c>
      <c r="K16" s="11">
        <f t="shared" si="1"/>
        <v>4833333.333333333</v>
      </c>
      <c r="L16" s="12">
        <f t="shared" si="3"/>
        <v>241666.66666666666</v>
      </c>
      <c r="M16" s="12">
        <f t="shared" si="2"/>
        <v>483333.33333333331</v>
      </c>
      <c r="N16" s="11">
        <f t="shared" si="2"/>
        <v>724999.99999999988</v>
      </c>
      <c r="O16" s="6"/>
    </row>
    <row r="17" spans="1:18" x14ac:dyDescent="0.45">
      <c r="A17" s="7" t="s">
        <v>68</v>
      </c>
      <c r="B17" s="7" t="s">
        <v>69</v>
      </c>
      <c r="C17" s="7" t="s">
        <v>70</v>
      </c>
      <c r="D17" s="8">
        <v>27</v>
      </c>
      <c r="E17" s="8">
        <f t="shared" si="0"/>
        <v>22</v>
      </c>
      <c r="F17" s="9">
        <v>44719</v>
      </c>
      <c r="G17" s="6" t="s">
        <v>61</v>
      </c>
      <c r="H17" s="6" t="s">
        <v>17</v>
      </c>
      <c r="I17" s="6"/>
      <c r="J17" s="10">
        <v>4300</v>
      </c>
      <c r="K17" s="11">
        <f t="shared" si="1"/>
        <v>3583333.333333333</v>
      </c>
      <c r="L17" s="12">
        <f t="shared" si="3"/>
        <v>179166.66666666666</v>
      </c>
      <c r="M17" s="12">
        <f t="shared" si="2"/>
        <v>358333.33333333331</v>
      </c>
      <c r="N17" s="11">
        <f t="shared" si="2"/>
        <v>537499.99999999988</v>
      </c>
      <c r="O17" s="6"/>
    </row>
    <row r="18" spans="1:18" x14ac:dyDescent="0.45">
      <c r="A18" s="7" t="s">
        <v>32</v>
      </c>
      <c r="B18" s="7" t="s">
        <v>33</v>
      </c>
      <c r="C18" s="7" t="s">
        <v>34</v>
      </c>
      <c r="D18" s="8">
        <v>47</v>
      </c>
      <c r="E18" s="8">
        <f t="shared" si="0"/>
        <v>2</v>
      </c>
      <c r="F18" s="9">
        <v>38127</v>
      </c>
      <c r="G18" s="6" t="s">
        <v>35</v>
      </c>
      <c r="H18" s="6" t="s">
        <v>9</v>
      </c>
      <c r="I18" s="6" t="s">
        <v>10</v>
      </c>
      <c r="J18" s="10">
        <v>14000</v>
      </c>
      <c r="K18" s="11">
        <f t="shared" si="1"/>
        <v>11666666.666666668</v>
      </c>
      <c r="L18" s="12">
        <f t="shared" si="3"/>
        <v>583333.33333333337</v>
      </c>
      <c r="M18" s="12">
        <f t="shared" si="2"/>
        <v>1166666.6666666667</v>
      </c>
      <c r="N18" s="11">
        <f t="shared" si="2"/>
        <v>1750000.0000000002</v>
      </c>
      <c r="O18" s="6"/>
    </row>
    <row r="19" spans="1:18" x14ac:dyDescent="0.45">
      <c r="A19" s="7" t="s">
        <v>36</v>
      </c>
      <c r="B19" s="7" t="s">
        <v>37</v>
      </c>
      <c r="C19" s="7" t="s">
        <v>38</v>
      </c>
      <c r="D19" s="8">
        <v>35</v>
      </c>
      <c r="E19" s="8">
        <f t="shared" si="0"/>
        <v>14</v>
      </c>
      <c r="F19" s="9">
        <v>42352</v>
      </c>
      <c r="G19" s="6" t="s">
        <v>35</v>
      </c>
      <c r="H19" s="6" t="s">
        <v>21</v>
      </c>
      <c r="I19" s="6"/>
      <c r="J19" s="10">
        <v>7300</v>
      </c>
      <c r="K19" s="11">
        <f t="shared" si="1"/>
        <v>6083333.333333334</v>
      </c>
      <c r="L19" s="12">
        <f t="shared" si="3"/>
        <v>304166.66666666669</v>
      </c>
      <c r="M19" s="12">
        <f t="shared" si="2"/>
        <v>608333.33333333337</v>
      </c>
      <c r="N19" s="11">
        <f t="shared" si="2"/>
        <v>912500.00000000012</v>
      </c>
      <c r="O19" s="6"/>
    </row>
    <row r="20" spans="1:18" x14ac:dyDescent="0.45">
      <c r="A20" s="7" t="s">
        <v>39</v>
      </c>
      <c r="B20" s="7" t="s">
        <v>40</v>
      </c>
      <c r="C20" s="7" t="s">
        <v>41</v>
      </c>
      <c r="D20" s="8">
        <v>32</v>
      </c>
      <c r="E20" s="8">
        <f t="shared" si="0"/>
        <v>17</v>
      </c>
      <c r="F20" s="9">
        <v>43220</v>
      </c>
      <c r="G20" s="6" t="s">
        <v>35</v>
      </c>
      <c r="H20" s="6" t="s">
        <v>14</v>
      </c>
      <c r="I20" s="6"/>
      <c r="J20" s="10">
        <v>6000</v>
      </c>
      <c r="K20" s="11">
        <f t="shared" si="1"/>
        <v>5000000</v>
      </c>
      <c r="L20" s="12">
        <f t="shared" si="3"/>
        <v>250000</v>
      </c>
      <c r="M20" s="12">
        <f t="shared" si="2"/>
        <v>500000</v>
      </c>
      <c r="N20" s="11">
        <f t="shared" si="2"/>
        <v>750000</v>
      </c>
      <c r="O20" s="6"/>
    </row>
    <row r="21" spans="1:18" x14ac:dyDescent="0.45">
      <c r="A21" s="7" t="s">
        <v>42</v>
      </c>
      <c r="B21" s="7" t="s">
        <v>43</v>
      </c>
      <c r="C21" s="7" t="s">
        <v>44</v>
      </c>
      <c r="D21" s="8">
        <v>28</v>
      </c>
      <c r="E21" s="8">
        <f t="shared" si="0"/>
        <v>21</v>
      </c>
      <c r="F21" s="9">
        <v>44326</v>
      </c>
      <c r="G21" s="6" t="s">
        <v>35</v>
      </c>
      <c r="H21" s="6" t="s">
        <v>17</v>
      </c>
      <c r="I21" s="6"/>
      <c r="J21" s="10">
        <v>4500</v>
      </c>
      <c r="K21" s="11">
        <f t="shared" si="1"/>
        <v>3750000</v>
      </c>
      <c r="L21" s="12">
        <f t="shared" si="3"/>
        <v>187500</v>
      </c>
      <c r="M21" s="12">
        <f t="shared" si="2"/>
        <v>375000</v>
      </c>
      <c r="N21" s="11">
        <f t="shared" si="2"/>
        <v>562500</v>
      </c>
      <c r="O21" s="6"/>
    </row>
    <row r="22" spans="1:18" x14ac:dyDescent="0.45">
      <c r="L22" s="20" t="s">
        <v>123</v>
      </c>
      <c r="M22" s="20"/>
      <c r="N22" s="20"/>
      <c r="O22" s="20"/>
    </row>
    <row r="23" spans="1:18" x14ac:dyDescent="0.45">
      <c r="A23" s="20" t="s">
        <v>89</v>
      </c>
      <c r="B23" s="20"/>
      <c r="C23" s="20" t="s">
        <v>90</v>
      </c>
      <c r="G23" s="20" t="s">
        <v>95</v>
      </c>
      <c r="H23" s="20"/>
      <c r="I23" s="20"/>
      <c r="J23" s="22"/>
      <c r="K23" s="20"/>
      <c r="L23" s="20" t="s">
        <v>124</v>
      </c>
      <c r="M23" s="20"/>
      <c r="N23" s="20"/>
      <c r="O23" s="20"/>
    </row>
    <row r="24" spans="1:18" x14ac:dyDescent="0.45">
      <c r="A24" s="20" t="s">
        <v>79</v>
      </c>
      <c r="B24" s="20"/>
      <c r="C24" s="20"/>
      <c r="G24" s="20" t="s">
        <v>96</v>
      </c>
      <c r="H24" s="20"/>
      <c r="I24" s="20"/>
      <c r="J24" s="22"/>
      <c r="K24" s="20"/>
      <c r="L24" s="20" t="s">
        <v>125</v>
      </c>
      <c r="M24" s="20"/>
      <c r="N24" s="20"/>
      <c r="O24" s="20"/>
    </row>
    <row r="25" spans="1:18" x14ac:dyDescent="0.45">
      <c r="A25" s="20" t="s">
        <v>80</v>
      </c>
      <c r="B25" s="20"/>
      <c r="C25" s="20"/>
      <c r="G25" s="20" t="s">
        <v>97</v>
      </c>
      <c r="H25" s="20"/>
      <c r="I25" s="20"/>
      <c r="J25" s="22"/>
      <c r="K25" s="20"/>
      <c r="L25" s="20" t="s">
        <v>126</v>
      </c>
      <c r="M25" s="20"/>
      <c r="N25" s="20"/>
      <c r="O25" s="20"/>
    </row>
    <row r="26" spans="1:18" x14ac:dyDescent="0.45">
      <c r="A26" s="20" t="s">
        <v>81</v>
      </c>
      <c r="B26" s="20"/>
      <c r="C26" s="20"/>
      <c r="G26" s="20" t="s">
        <v>98</v>
      </c>
      <c r="H26" s="20"/>
      <c r="I26" s="20"/>
      <c r="J26" s="22"/>
      <c r="K26" s="20"/>
    </row>
    <row r="27" spans="1:18" x14ac:dyDescent="0.45">
      <c r="A27" s="20" t="s">
        <v>83</v>
      </c>
      <c r="B27" s="20"/>
      <c r="C27" s="20"/>
      <c r="G27" s="20" t="s">
        <v>99</v>
      </c>
      <c r="H27" s="20"/>
      <c r="I27" s="20"/>
      <c r="J27" s="22"/>
      <c r="K27" s="20"/>
    </row>
    <row r="28" spans="1:18" x14ac:dyDescent="0.45">
      <c r="A28" s="20" t="s">
        <v>84</v>
      </c>
      <c r="B28" s="20"/>
      <c r="C28" s="20"/>
      <c r="G28" s="20" t="s">
        <v>100</v>
      </c>
      <c r="H28" s="20"/>
      <c r="I28" s="20"/>
      <c r="J28" s="22"/>
      <c r="K28" s="20"/>
      <c r="M28" s="4" t="s">
        <v>115</v>
      </c>
    </row>
    <row r="29" spans="1:18" x14ac:dyDescent="0.45">
      <c r="A29" s="20" t="s">
        <v>85</v>
      </c>
      <c r="B29" s="20"/>
      <c r="C29" s="20"/>
      <c r="G29" s="20" t="s">
        <v>101</v>
      </c>
      <c r="H29" s="20"/>
      <c r="I29" s="20"/>
      <c r="J29" s="22"/>
      <c r="K29" s="20"/>
      <c r="N29" s="20" t="s">
        <v>116</v>
      </c>
      <c r="O29" s="20"/>
      <c r="P29" s="20"/>
      <c r="Q29" s="20"/>
      <c r="R29" s="20"/>
    </row>
    <row r="30" spans="1:18" x14ac:dyDescent="0.45">
      <c r="A30" s="20" t="s">
        <v>86</v>
      </c>
      <c r="B30" s="20"/>
      <c r="C30" s="20"/>
      <c r="G30" s="20" t="s">
        <v>102</v>
      </c>
      <c r="H30" s="20"/>
      <c r="I30" s="20"/>
      <c r="J30" s="22"/>
      <c r="K30" s="20"/>
      <c r="N30" s="20" t="s">
        <v>117</v>
      </c>
      <c r="O30" s="20"/>
      <c r="P30" s="20"/>
      <c r="Q30" s="20"/>
      <c r="R30" s="20"/>
    </row>
    <row r="31" spans="1:18" x14ac:dyDescent="0.45">
      <c r="A31" s="20" t="s">
        <v>87</v>
      </c>
      <c r="B31" s="20"/>
      <c r="C31" s="20"/>
      <c r="G31" s="20"/>
      <c r="H31" s="20"/>
      <c r="I31" s="20"/>
      <c r="J31" s="22"/>
      <c r="K31" s="20"/>
      <c r="N31" s="20" t="s">
        <v>118</v>
      </c>
      <c r="O31" s="20"/>
      <c r="P31" s="20"/>
      <c r="Q31" s="20"/>
      <c r="R31" s="20"/>
    </row>
    <row r="32" spans="1:18" x14ac:dyDescent="0.45">
      <c r="A32" s="20" t="s">
        <v>88</v>
      </c>
      <c r="B32" s="20"/>
      <c r="C32" s="20"/>
      <c r="G32" s="20" t="s">
        <v>103</v>
      </c>
      <c r="H32" s="20"/>
      <c r="I32" s="20"/>
      <c r="J32" s="22"/>
      <c r="K32" s="20"/>
      <c r="N32" s="20" t="s">
        <v>119</v>
      </c>
      <c r="O32" s="20"/>
      <c r="P32" s="20"/>
      <c r="Q32" s="20"/>
      <c r="R32" s="20"/>
    </row>
    <row r="33" spans="1:11" x14ac:dyDescent="0.45">
      <c r="A33" s="20" t="s">
        <v>91</v>
      </c>
      <c r="B33" s="20"/>
      <c r="C33" s="20"/>
      <c r="G33" s="20" t="s">
        <v>104</v>
      </c>
      <c r="H33" s="20"/>
      <c r="I33" s="20"/>
      <c r="J33" s="22"/>
      <c r="K33" s="20"/>
    </row>
    <row r="34" spans="1:11" x14ac:dyDescent="0.45">
      <c r="A34" s="20" t="s">
        <v>94</v>
      </c>
      <c r="B34" s="20"/>
      <c r="C34" s="20"/>
      <c r="G34" s="23" t="s">
        <v>105</v>
      </c>
      <c r="H34" s="23"/>
      <c r="I34" s="23"/>
      <c r="J34" s="23"/>
      <c r="K34" s="22"/>
    </row>
    <row r="35" spans="1:11" x14ac:dyDescent="0.45">
      <c r="A35" s="20" t="s">
        <v>93</v>
      </c>
      <c r="B35" s="20"/>
      <c r="C35" s="20"/>
      <c r="G35" s="23"/>
      <c r="H35" s="23"/>
      <c r="I35" s="23"/>
      <c r="J35" s="23"/>
      <c r="K35" s="20"/>
    </row>
    <row r="36" spans="1:11" x14ac:dyDescent="0.45">
      <c r="A36" s="20" t="s">
        <v>106</v>
      </c>
      <c r="B36" s="20"/>
      <c r="C36" s="20"/>
      <c r="G36" s="23"/>
      <c r="H36" s="23"/>
      <c r="I36" s="23"/>
      <c r="J36" s="23"/>
      <c r="K36" s="20"/>
    </row>
    <row r="37" spans="1:11" x14ac:dyDescent="0.45">
      <c r="A37" s="20" t="s">
        <v>107</v>
      </c>
      <c r="B37" s="20"/>
      <c r="C37" s="20"/>
      <c r="G37" s="23"/>
      <c r="H37" s="23"/>
      <c r="I37" s="23"/>
      <c r="J37" s="23"/>
      <c r="K37" s="20"/>
    </row>
    <row r="38" spans="1:11" x14ac:dyDescent="0.45">
      <c r="A38" s="20" t="s">
        <v>109</v>
      </c>
      <c r="B38" s="20"/>
      <c r="C38" s="20"/>
      <c r="G38" s="23"/>
      <c r="H38" s="23"/>
      <c r="I38" s="23"/>
      <c r="J38" s="23"/>
      <c r="K38" s="20"/>
    </row>
    <row r="39" spans="1:11" x14ac:dyDescent="0.45">
      <c r="A39" s="20" t="s">
        <v>108</v>
      </c>
      <c r="B39" s="20"/>
      <c r="C39" s="20"/>
      <c r="G39" s="23"/>
      <c r="H39" s="23"/>
      <c r="I39" s="23"/>
      <c r="J39" s="23"/>
      <c r="K39" s="20"/>
    </row>
    <row r="40" spans="1:11" x14ac:dyDescent="0.45">
      <c r="A40" s="20" t="s">
        <v>110</v>
      </c>
      <c r="B40" s="20"/>
      <c r="C40" s="20"/>
      <c r="G40" s="23"/>
      <c r="H40" s="23"/>
      <c r="I40" s="23"/>
      <c r="J40" s="23"/>
      <c r="K40" s="20"/>
    </row>
    <row r="41" spans="1:11" x14ac:dyDescent="0.45">
      <c r="A41" s="20" t="s">
        <v>111</v>
      </c>
      <c r="B41" s="20"/>
      <c r="C41" s="20"/>
      <c r="F41" s="21" t="s">
        <v>121</v>
      </c>
      <c r="G41" s="20"/>
      <c r="H41" s="20"/>
      <c r="I41" s="20"/>
    </row>
    <row r="42" spans="1:11" x14ac:dyDescent="0.45">
      <c r="A42" s="20" t="s">
        <v>112</v>
      </c>
      <c r="B42" s="20"/>
      <c r="C42" s="20"/>
      <c r="F42" s="21" t="s">
        <v>122</v>
      </c>
      <c r="G42" s="20"/>
      <c r="H42" s="20"/>
      <c r="I42" s="20"/>
    </row>
    <row r="43" spans="1:11" x14ac:dyDescent="0.45">
      <c r="A43" s="20" t="s">
        <v>113</v>
      </c>
      <c r="B43" s="20"/>
      <c r="C43" s="20"/>
    </row>
  </sheetData>
  <autoFilter ref="A1:J21" xr:uid="{B8CCF4D2-D8DB-D340-884C-C8488AD654D7}"/>
  <mergeCells count="1">
    <mergeCell ref="G34:J4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E89D-7ED3-488E-9016-C8941E2ECE31}">
  <dimension ref="A1:T33"/>
  <sheetViews>
    <sheetView topLeftCell="G1" zoomScale="70" zoomScaleNormal="70" workbookViewId="0">
      <selection activeCell="L26" sqref="L26:L33"/>
    </sheetView>
  </sheetViews>
  <sheetFormatPr defaultRowHeight="17.5" x14ac:dyDescent="0.45"/>
  <cols>
    <col min="2" max="2" width="31" bestFit="1" customWidth="1"/>
    <col min="3" max="3" width="14" bestFit="1" customWidth="1"/>
    <col min="6" max="6" width="16.3828125" bestFit="1" customWidth="1"/>
    <col min="11" max="11" width="12.07421875" bestFit="1" customWidth="1"/>
    <col min="12" max="12" width="32.07421875" bestFit="1" customWidth="1"/>
    <col min="13" max="13" width="9.53515625" bestFit="1" customWidth="1"/>
    <col min="14" max="14" width="11" bestFit="1" customWidth="1"/>
  </cols>
  <sheetData>
    <row r="1" spans="1:13" x14ac:dyDescent="0.45">
      <c r="A1" s="7" t="s">
        <v>76</v>
      </c>
      <c r="B1" s="7" t="s">
        <v>0</v>
      </c>
      <c r="C1" s="7" t="s">
        <v>1</v>
      </c>
      <c r="D1" s="8" t="s">
        <v>4</v>
      </c>
      <c r="E1" s="8" t="s">
        <v>120</v>
      </c>
      <c r="F1" s="9" t="s">
        <v>74</v>
      </c>
      <c r="G1" s="6" t="s">
        <v>2</v>
      </c>
      <c r="H1" s="6" t="s">
        <v>75</v>
      </c>
      <c r="I1" s="6" t="s">
        <v>3</v>
      </c>
      <c r="J1" s="10" t="s">
        <v>77</v>
      </c>
    </row>
    <row r="2" spans="1:13" x14ac:dyDescent="0.45">
      <c r="A2" s="7" t="s">
        <v>45</v>
      </c>
      <c r="B2" s="7" t="s">
        <v>46</v>
      </c>
      <c r="C2" s="7" t="s">
        <v>47</v>
      </c>
      <c r="D2" s="8">
        <v>44</v>
      </c>
      <c r="E2" s="8">
        <f>$D$14 -D2</f>
        <v>5</v>
      </c>
      <c r="F2" s="9">
        <v>40073</v>
      </c>
      <c r="G2" s="6" t="s">
        <v>48</v>
      </c>
      <c r="H2" s="6" t="s">
        <v>26</v>
      </c>
      <c r="I2" s="6" t="s">
        <v>10</v>
      </c>
      <c r="J2" s="10">
        <v>11500</v>
      </c>
      <c r="L2" t="s">
        <v>127</v>
      </c>
    </row>
    <row r="3" spans="1:13" x14ac:dyDescent="0.45">
      <c r="A3" s="7" t="s">
        <v>49</v>
      </c>
      <c r="B3" s="7" t="s">
        <v>50</v>
      </c>
      <c r="C3" s="7" t="s">
        <v>51</v>
      </c>
      <c r="D3" s="8">
        <v>38</v>
      </c>
      <c r="E3" s="8">
        <f t="shared" ref="E3:E21" si="0">$D$14 -D3</f>
        <v>11</v>
      </c>
      <c r="F3" s="9">
        <v>41430</v>
      </c>
      <c r="G3" s="6" t="s">
        <v>48</v>
      </c>
      <c r="H3" s="6" t="s">
        <v>21</v>
      </c>
      <c r="I3" s="6"/>
      <c r="J3" s="10">
        <v>6700</v>
      </c>
      <c r="L3" t="s">
        <v>128</v>
      </c>
      <c r="M3" s="14">
        <f>AVERAGE(J2:J21)</f>
        <v>7160</v>
      </c>
    </row>
    <row r="4" spans="1:13" x14ac:dyDescent="0.45">
      <c r="A4" s="7" t="s">
        <v>55</v>
      </c>
      <c r="B4" s="7" t="s">
        <v>56</v>
      </c>
      <c r="C4" s="7" t="s">
        <v>57</v>
      </c>
      <c r="D4" s="8">
        <v>29</v>
      </c>
      <c r="E4" s="8">
        <f>$D$14 -D4</f>
        <v>20</v>
      </c>
      <c r="F4" s="9">
        <v>44027</v>
      </c>
      <c r="G4" s="6" t="s">
        <v>48</v>
      </c>
      <c r="H4" s="6" t="s">
        <v>14</v>
      </c>
      <c r="I4" s="6"/>
      <c r="J4" s="10">
        <v>4900</v>
      </c>
      <c r="L4" t="s">
        <v>130</v>
      </c>
      <c r="M4" s="14">
        <f>MEDIAN(J2:J21)</f>
        <v>6000</v>
      </c>
    </row>
    <row r="5" spans="1:13" x14ac:dyDescent="0.45">
      <c r="A5" s="7" t="s">
        <v>52</v>
      </c>
      <c r="B5" s="7" t="s">
        <v>53</v>
      </c>
      <c r="C5" s="7" t="s">
        <v>54</v>
      </c>
      <c r="D5" s="8">
        <v>26</v>
      </c>
      <c r="E5" s="8">
        <f t="shared" si="0"/>
        <v>23</v>
      </c>
      <c r="F5" s="9">
        <v>44613</v>
      </c>
      <c r="G5" s="6" t="s">
        <v>48</v>
      </c>
      <c r="H5" s="6" t="s">
        <v>17</v>
      </c>
      <c r="I5" s="6"/>
      <c r="J5" s="10">
        <v>3400</v>
      </c>
      <c r="L5" t="s">
        <v>131</v>
      </c>
      <c r="M5" s="14">
        <f>MODE(J2:J21)</f>
        <v>3400</v>
      </c>
    </row>
    <row r="6" spans="1:13" x14ac:dyDescent="0.45">
      <c r="A6" s="7" t="s">
        <v>5</v>
      </c>
      <c r="B6" s="7" t="s">
        <v>6</v>
      </c>
      <c r="C6" s="7" t="s">
        <v>7</v>
      </c>
      <c r="D6" s="8">
        <v>48</v>
      </c>
      <c r="E6" s="8">
        <f t="shared" si="0"/>
        <v>1</v>
      </c>
      <c r="F6" s="9">
        <v>38426</v>
      </c>
      <c r="G6" s="6" t="s">
        <v>8</v>
      </c>
      <c r="H6" s="6" t="s">
        <v>9</v>
      </c>
      <c r="I6" s="6" t="s">
        <v>10</v>
      </c>
      <c r="J6" s="10">
        <v>12000</v>
      </c>
      <c r="L6" s="6" t="s">
        <v>132</v>
      </c>
      <c r="M6" s="14">
        <f>MAX(J2:J21)</f>
        <v>14500</v>
      </c>
    </row>
    <row r="7" spans="1:13" x14ac:dyDescent="0.45">
      <c r="A7" s="7" t="s">
        <v>18</v>
      </c>
      <c r="B7" s="7" t="s">
        <v>19</v>
      </c>
      <c r="C7" s="7" t="s">
        <v>20</v>
      </c>
      <c r="D7" s="8">
        <v>36</v>
      </c>
      <c r="E7" s="8">
        <f t="shared" si="0"/>
        <v>13</v>
      </c>
      <c r="F7" s="9">
        <v>41905</v>
      </c>
      <c r="G7" s="6" t="s">
        <v>8</v>
      </c>
      <c r="H7" s="6" t="s">
        <v>21</v>
      </c>
      <c r="I7" s="6"/>
      <c r="J7" s="10">
        <v>6000</v>
      </c>
      <c r="L7" t="s">
        <v>133</v>
      </c>
      <c r="M7" s="14">
        <f>MIN(J2:J21)</f>
        <v>3400</v>
      </c>
    </row>
    <row r="8" spans="1:13" x14ac:dyDescent="0.45">
      <c r="A8" s="7" t="s">
        <v>11</v>
      </c>
      <c r="B8" s="7" t="s">
        <v>12</v>
      </c>
      <c r="C8" s="7" t="s">
        <v>13</v>
      </c>
      <c r="D8" s="8">
        <v>30</v>
      </c>
      <c r="E8" s="8">
        <f t="shared" si="0"/>
        <v>19</v>
      </c>
      <c r="F8" s="9">
        <v>43282</v>
      </c>
      <c r="G8" s="6" t="s">
        <v>8</v>
      </c>
      <c r="H8" s="6" t="s">
        <v>14</v>
      </c>
      <c r="I8" s="6"/>
      <c r="J8" s="10">
        <v>4800</v>
      </c>
      <c r="L8" t="s">
        <v>134</v>
      </c>
      <c r="M8" s="14">
        <f>SUM(J2:J21)</f>
        <v>143200</v>
      </c>
    </row>
    <row r="9" spans="1:13" x14ac:dyDescent="0.45">
      <c r="A9" s="7" t="s">
        <v>82</v>
      </c>
      <c r="B9" s="7" t="s">
        <v>15</v>
      </c>
      <c r="C9" s="7" t="s">
        <v>16</v>
      </c>
      <c r="D9" s="8">
        <v>26</v>
      </c>
      <c r="E9" s="8">
        <f t="shared" si="0"/>
        <v>23</v>
      </c>
      <c r="F9" s="9">
        <v>44571</v>
      </c>
      <c r="G9" s="6" t="s">
        <v>8</v>
      </c>
      <c r="H9" s="6" t="s">
        <v>17</v>
      </c>
      <c r="I9" s="6"/>
      <c r="J9" s="10">
        <v>3600</v>
      </c>
    </row>
    <row r="10" spans="1:13" x14ac:dyDescent="0.45">
      <c r="A10" s="7" t="s">
        <v>22</v>
      </c>
      <c r="B10" s="7" t="s">
        <v>23</v>
      </c>
      <c r="C10" s="7" t="s">
        <v>24</v>
      </c>
      <c r="D10" s="8">
        <v>45</v>
      </c>
      <c r="E10" s="8">
        <f t="shared" si="0"/>
        <v>4</v>
      </c>
      <c r="F10" s="9">
        <v>39757</v>
      </c>
      <c r="G10" s="6" t="s">
        <v>25</v>
      </c>
      <c r="H10" s="6" t="s">
        <v>26</v>
      </c>
      <c r="I10" s="6" t="s">
        <v>10</v>
      </c>
      <c r="J10" s="10">
        <v>11000</v>
      </c>
    </row>
    <row r="11" spans="1:13" x14ac:dyDescent="0.45">
      <c r="A11" s="7" t="s">
        <v>71</v>
      </c>
      <c r="B11" s="7" t="s">
        <v>72</v>
      </c>
      <c r="C11" s="7" t="s">
        <v>73</v>
      </c>
      <c r="D11" s="8">
        <v>34</v>
      </c>
      <c r="E11" s="8">
        <f t="shared" si="0"/>
        <v>15</v>
      </c>
      <c r="F11" s="9">
        <v>42606</v>
      </c>
      <c r="G11" s="6" t="s">
        <v>25</v>
      </c>
      <c r="H11" s="6" t="s">
        <v>21</v>
      </c>
      <c r="I11" s="6"/>
      <c r="J11" s="10">
        <v>6900</v>
      </c>
    </row>
    <row r="12" spans="1:13" x14ac:dyDescent="0.45">
      <c r="A12" s="7" t="s">
        <v>27</v>
      </c>
      <c r="B12" s="7" t="s">
        <v>28</v>
      </c>
      <c r="C12" s="7" t="s">
        <v>29</v>
      </c>
      <c r="D12" s="8">
        <v>31</v>
      </c>
      <c r="E12" s="8">
        <f t="shared" si="0"/>
        <v>18</v>
      </c>
      <c r="F12" s="9">
        <v>43542</v>
      </c>
      <c r="G12" s="6" t="s">
        <v>25</v>
      </c>
      <c r="H12" s="6" t="s">
        <v>14</v>
      </c>
      <c r="I12" s="6"/>
      <c r="J12" s="10">
        <v>5100</v>
      </c>
    </row>
    <row r="13" spans="1:13" x14ac:dyDescent="0.45">
      <c r="A13" s="7" t="s">
        <v>30</v>
      </c>
      <c r="B13" s="7" t="s">
        <v>92</v>
      </c>
      <c r="C13" s="7" t="s">
        <v>31</v>
      </c>
      <c r="D13" s="8">
        <v>27</v>
      </c>
      <c r="E13" s="8">
        <f t="shared" si="0"/>
        <v>22</v>
      </c>
      <c r="F13" s="9">
        <v>44410</v>
      </c>
      <c r="G13" s="6" t="s">
        <v>25</v>
      </c>
      <c r="H13" s="6" t="s">
        <v>17</v>
      </c>
      <c r="I13" s="6"/>
      <c r="J13" s="10">
        <v>3400</v>
      </c>
    </row>
    <row r="14" spans="1:13" x14ac:dyDescent="0.45">
      <c r="A14" s="7" t="s">
        <v>58</v>
      </c>
      <c r="B14" s="7" t="s">
        <v>59</v>
      </c>
      <c r="C14" s="7" t="s">
        <v>60</v>
      </c>
      <c r="D14" s="8">
        <v>49</v>
      </c>
      <c r="E14" s="8">
        <f t="shared" si="0"/>
        <v>0</v>
      </c>
      <c r="F14" s="9">
        <v>37679</v>
      </c>
      <c r="G14" s="6" t="s">
        <v>61</v>
      </c>
      <c r="H14" s="6" t="s">
        <v>9</v>
      </c>
      <c r="I14" s="6" t="s">
        <v>10</v>
      </c>
      <c r="J14" s="10">
        <v>14500</v>
      </c>
    </row>
    <row r="15" spans="1:13" x14ac:dyDescent="0.45">
      <c r="A15" s="7" t="s">
        <v>62</v>
      </c>
      <c r="B15" s="7" t="s">
        <v>63</v>
      </c>
      <c r="C15" s="7" t="s">
        <v>64</v>
      </c>
      <c r="D15" s="8">
        <v>37</v>
      </c>
      <c r="E15" s="8">
        <f>$D$14 -D15</f>
        <v>12</v>
      </c>
      <c r="F15" s="9">
        <v>41242</v>
      </c>
      <c r="G15" s="6" t="s">
        <v>61</v>
      </c>
      <c r="H15" s="6" t="s">
        <v>21</v>
      </c>
      <c r="I15" s="6"/>
      <c r="J15" s="10">
        <v>7500</v>
      </c>
    </row>
    <row r="16" spans="1:13" x14ac:dyDescent="0.45">
      <c r="A16" s="7" t="s">
        <v>65</v>
      </c>
      <c r="B16" s="7" t="s">
        <v>66</v>
      </c>
      <c r="C16" s="7" t="s">
        <v>67</v>
      </c>
      <c r="D16" s="8">
        <v>30</v>
      </c>
      <c r="E16" s="8">
        <f t="shared" si="0"/>
        <v>19</v>
      </c>
      <c r="F16" s="9">
        <v>43385</v>
      </c>
      <c r="G16" s="6" t="s">
        <v>61</v>
      </c>
      <c r="H16" s="6" t="s">
        <v>14</v>
      </c>
      <c r="I16" s="6"/>
      <c r="J16" s="10">
        <v>5800</v>
      </c>
    </row>
    <row r="17" spans="1:20" x14ac:dyDescent="0.45">
      <c r="A17" s="7" t="s">
        <v>68</v>
      </c>
      <c r="B17" s="7" t="s">
        <v>69</v>
      </c>
      <c r="C17" s="7" t="s">
        <v>70</v>
      </c>
      <c r="D17" s="8">
        <v>27</v>
      </c>
      <c r="E17" s="8">
        <f t="shared" si="0"/>
        <v>22</v>
      </c>
      <c r="F17" s="9">
        <v>44719</v>
      </c>
      <c r="G17" s="6" t="s">
        <v>61</v>
      </c>
      <c r="H17" s="6" t="s">
        <v>17</v>
      </c>
      <c r="I17" s="6"/>
      <c r="J17" s="10">
        <v>4300</v>
      </c>
    </row>
    <row r="18" spans="1:20" x14ac:dyDescent="0.45">
      <c r="A18" s="7" t="s">
        <v>32</v>
      </c>
      <c r="B18" s="7" t="s">
        <v>33</v>
      </c>
      <c r="C18" s="7" t="s">
        <v>34</v>
      </c>
      <c r="D18" s="8">
        <v>47</v>
      </c>
      <c r="E18" s="8">
        <f t="shared" si="0"/>
        <v>2</v>
      </c>
      <c r="F18" s="9">
        <v>38127</v>
      </c>
      <c r="G18" s="6" t="s">
        <v>35</v>
      </c>
      <c r="H18" s="6" t="s">
        <v>9</v>
      </c>
      <c r="I18" s="6" t="s">
        <v>10</v>
      </c>
      <c r="J18" s="10">
        <v>14000</v>
      </c>
    </row>
    <row r="19" spans="1:20" x14ac:dyDescent="0.45">
      <c r="A19" s="7" t="s">
        <v>36</v>
      </c>
      <c r="B19" s="7" t="s">
        <v>37</v>
      </c>
      <c r="C19" s="7" t="s">
        <v>38</v>
      </c>
      <c r="D19" s="8">
        <v>35</v>
      </c>
      <c r="E19" s="8">
        <f t="shared" si="0"/>
        <v>14</v>
      </c>
      <c r="F19" s="9">
        <v>42352</v>
      </c>
      <c r="G19" s="6" t="s">
        <v>35</v>
      </c>
      <c r="H19" s="6" t="s">
        <v>21</v>
      </c>
      <c r="I19" s="6"/>
      <c r="J19" s="10">
        <v>7300</v>
      </c>
    </row>
    <row r="20" spans="1:20" x14ac:dyDescent="0.45">
      <c r="A20" s="7" t="s">
        <v>39</v>
      </c>
      <c r="B20" s="7" t="s">
        <v>40</v>
      </c>
      <c r="C20" s="7" t="s">
        <v>41</v>
      </c>
      <c r="D20" s="8">
        <v>32</v>
      </c>
      <c r="E20" s="8">
        <f t="shared" si="0"/>
        <v>17</v>
      </c>
      <c r="F20" s="9">
        <v>43220</v>
      </c>
      <c r="G20" s="6" t="s">
        <v>35</v>
      </c>
      <c r="H20" s="6" t="s">
        <v>14</v>
      </c>
      <c r="I20" s="6"/>
      <c r="J20" s="10">
        <v>6000</v>
      </c>
    </row>
    <row r="21" spans="1:20" x14ac:dyDescent="0.45">
      <c r="A21" s="7" t="s">
        <v>42</v>
      </c>
      <c r="B21" s="7" t="s">
        <v>43</v>
      </c>
      <c r="C21" s="7" t="s">
        <v>44</v>
      </c>
      <c r="D21" s="8">
        <v>28</v>
      </c>
      <c r="E21" s="8">
        <f t="shared" si="0"/>
        <v>21</v>
      </c>
      <c r="F21" s="9">
        <v>44326</v>
      </c>
      <c r="G21" s="6" t="s">
        <v>35</v>
      </c>
      <c r="H21" s="6" t="s">
        <v>17</v>
      </c>
      <c r="I21" s="6"/>
      <c r="J21" s="10">
        <v>4500</v>
      </c>
    </row>
    <row r="23" spans="1:20" x14ac:dyDescent="0.45">
      <c r="F23" t="s">
        <v>137</v>
      </c>
      <c r="G23">
        <f>COUNTA(G2:G21)</f>
        <v>20</v>
      </c>
      <c r="H23">
        <f>COUNTA(H2:H21)</f>
        <v>20</v>
      </c>
      <c r="J23">
        <f>COUNT(J2:J21)</f>
        <v>20</v>
      </c>
    </row>
    <row r="24" spans="1:20" x14ac:dyDescent="0.45">
      <c r="F24" t="s">
        <v>136</v>
      </c>
      <c r="G24">
        <f>COUNTA(G2:G22)</f>
        <v>20</v>
      </c>
      <c r="H24">
        <f t="shared" ref="H24:J24" si="1">COUNTA(H2:H22)</f>
        <v>20</v>
      </c>
      <c r="I24">
        <f t="shared" si="1"/>
        <v>5</v>
      </c>
      <c r="J24">
        <f t="shared" si="1"/>
        <v>20</v>
      </c>
    </row>
    <row r="25" spans="1:20" x14ac:dyDescent="0.45">
      <c r="F25" t="s">
        <v>138</v>
      </c>
      <c r="G25">
        <f>COUNTA(_xlfn.UNIQUE(G2:G21))</f>
        <v>5</v>
      </c>
      <c r="H25">
        <f>COUNTA(_xlfn.UNIQUE(H2:H21))</f>
        <v>5</v>
      </c>
      <c r="L25" s="16" t="s">
        <v>129</v>
      </c>
      <c r="M25" s="16"/>
      <c r="N25" s="16"/>
      <c r="O25" s="16"/>
    </row>
    <row r="26" spans="1:20" ht="17.5" customHeight="1" x14ac:dyDescent="0.45">
      <c r="L26" s="25" t="s">
        <v>158</v>
      </c>
      <c r="M26" s="24" t="s">
        <v>135</v>
      </c>
      <c r="N26" s="24"/>
      <c r="O26" s="24"/>
      <c r="P26" s="15"/>
      <c r="Q26" s="15"/>
      <c r="R26" s="15"/>
      <c r="S26" s="15"/>
      <c r="T26" s="15"/>
    </row>
    <row r="27" spans="1:20" x14ac:dyDescent="0.45">
      <c r="L27" s="25"/>
      <c r="M27" s="24"/>
      <c r="N27" s="24"/>
      <c r="O27" s="24"/>
      <c r="P27" s="15"/>
      <c r="Q27" s="15"/>
      <c r="R27" s="15"/>
      <c r="S27" s="15"/>
      <c r="T27" s="15"/>
    </row>
    <row r="28" spans="1:20" x14ac:dyDescent="0.45">
      <c r="L28" s="25"/>
      <c r="M28" s="24"/>
      <c r="N28" s="24"/>
      <c r="O28" s="24"/>
      <c r="P28" s="15"/>
      <c r="Q28" s="15"/>
      <c r="R28" s="15"/>
      <c r="S28" s="15"/>
      <c r="T28" s="15"/>
    </row>
    <row r="29" spans="1:20" x14ac:dyDescent="0.45">
      <c r="L29" s="25"/>
      <c r="M29" s="24"/>
      <c r="N29" s="24"/>
      <c r="O29" s="24"/>
      <c r="P29" s="15"/>
      <c r="Q29" s="15"/>
      <c r="R29" s="15"/>
      <c r="S29" s="15"/>
      <c r="T29" s="15"/>
    </row>
    <row r="30" spans="1:20" x14ac:dyDescent="0.45">
      <c r="L30" s="25"/>
      <c r="M30" s="24"/>
      <c r="N30" s="24"/>
      <c r="O30" s="24"/>
      <c r="P30" s="15"/>
      <c r="Q30" s="15"/>
      <c r="R30" s="15"/>
      <c r="S30" s="15"/>
      <c r="T30" s="15"/>
    </row>
    <row r="31" spans="1:20" x14ac:dyDescent="0.45">
      <c r="L31" s="25"/>
      <c r="M31" s="24"/>
      <c r="N31" s="24"/>
      <c r="O31" s="24"/>
      <c r="P31" s="15"/>
      <c r="Q31" s="15"/>
      <c r="R31" s="15"/>
      <c r="S31" s="15"/>
      <c r="T31" s="15"/>
    </row>
    <row r="32" spans="1:20" x14ac:dyDescent="0.45">
      <c r="L32" s="25"/>
      <c r="M32" s="24"/>
      <c r="N32" s="24"/>
      <c r="O32" s="24"/>
      <c r="P32" s="15"/>
      <c r="Q32" s="15"/>
      <c r="R32" s="15"/>
      <c r="S32" s="15"/>
      <c r="T32" s="15"/>
    </row>
    <row r="33" spans="12:20" x14ac:dyDescent="0.45">
      <c r="L33" s="25"/>
      <c r="M33" s="24"/>
      <c r="N33" s="24"/>
      <c r="O33" s="24"/>
      <c r="P33" s="15"/>
      <c r="Q33" s="15"/>
      <c r="R33" s="15"/>
      <c r="S33" s="15"/>
      <c r="T33" s="15"/>
    </row>
  </sheetData>
  <mergeCells count="2">
    <mergeCell ref="M26:O33"/>
    <mergeCell ref="L26:L3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14C4-B29B-479D-9C4C-A3B584A8011D}">
  <dimension ref="A1:Q69"/>
  <sheetViews>
    <sheetView topLeftCell="B1" zoomScale="97" zoomScaleNormal="70" workbookViewId="0">
      <pane ySplit="1" topLeftCell="A18" activePane="bottomLeft" state="frozen"/>
      <selection activeCell="F1" sqref="F1"/>
      <selection pane="bottomLeft" activeCell="D23" sqref="D23:H31"/>
    </sheetView>
  </sheetViews>
  <sheetFormatPr defaultRowHeight="17.5" x14ac:dyDescent="0.45"/>
  <cols>
    <col min="3" max="3" width="14" bestFit="1" customWidth="1"/>
    <col min="5" max="5" width="16.3828125" bestFit="1" customWidth="1"/>
    <col min="11" max="11" width="22.3046875" bestFit="1" customWidth="1"/>
    <col min="12" max="12" width="17.84375" bestFit="1" customWidth="1"/>
    <col min="13" max="13" width="7.07421875" customWidth="1"/>
  </cols>
  <sheetData>
    <row r="1" spans="1:17" x14ac:dyDescent="0.45">
      <c r="A1" s="7" t="s">
        <v>76</v>
      </c>
      <c r="B1" s="7" t="s">
        <v>0</v>
      </c>
      <c r="C1" s="7" t="s">
        <v>1</v>
      </c>
      <c r="D1" s="8" t="s">
        <v>4</v>
      </c>
      <c r="E1" s="9" t="s">
        <v>74</v>
      </c>
      <c r="F1" s="6" t="s">
        <v>2</v>
      </c>
      <c r="G1" s="6" t="s">
        <v>75</v>
      </c>
      <c r="H1" s="6" t="s">
        <v>3</v>
      </c>
      <c r="I1" s="10" t="s">
        <v>77</v>
      </c>
      <c r="K1" s="6" t="s">
        <v>139</v>
      </c>
      <c r="L1" s="6" t="s">
        <v>140</v>
      </c>
      <c r="M1" s="6" t="s">
        <v>141</v>
      </c>
      <c r="N1" s="6" t="s">
        <v>142</v>
      </c>
      <c r="O1" s="6" t="s">
        <v>143</v>
      </c>
      <c r="P1" s="6" t="s">
        <v>144</v>
      </c>
      <c r="Q1" s="6" t="s">
        <v>78</v>
      </c>
    </row>
    <row r="2" spans="1:17" x14ac:dyDescent="0.45">
      <c r="A2" s="7" t="s">
        <v>45</v>
      </c>
      <c r="B2" s="7" t="s">
        <v>46</v>
      </c>
      <c r="C2" s="7" t="s">
        <v>47</v>
      </c>
      <c r="D2" s="8">
        <v>44</v>
      </c>
      <c r="E2" s="9">
        <v>40073</v>
      </c>
      <c r="F2" s="6" t="s">
        <v>48</v>
      </c>
      <c r="G2" s="6" t="s">
        <v>26</v>
      </c>
      <c r="H2" s="6" t="s">
        <v>10</v>
      </c>
      <c r="I2" s="10">
        <v>11500</v>
      </c>
      <c r="K2">
        <f>AVERAGE($D$2:$D$21)-D2</f>
        <v>-9.0499999999999972</v>
      </c>
      <c r="L2">
        <f>ABS(K2)</f>
        <v>9.0499999999999972</v>
      </c>
      <c r="M2">
        <f>ROUND(L2,0)</f>
        <v>9</v>
      </c>
      <c r="N2">
        <f>ROUNDUP(L2,0)</f>
        <v>10</v>
      </c>
      <c r="O2">
        <f>ROUNDDOWN(L2,0)</f>
        <v>9</v>
      </c>
      <c r="P2">
        <f>TRUNC(L2)</f>
        <v>9</v>
      </c>
      <c r="Q2">
        <f>INT(L2)</f>
        <v>9</v>
      </c>
    </row>
    <row r="3" spans="1:17" x14ac:dyDescent="0.45">
      <c r="A3" s="7" t="s">
        <v>49</v>
      </c>
      <c r="B3" s="7" t="s">
        <v>50</v>
      </c>
      <c r="C3" s="7" t="s">
        <v>51</v>
      </c>
      <c r="D3" s="8">
        <v>38</v>
      </c>
      <c r="E3" s="9">
        <v>41430</v>
      </c>
      <c r="F3" s="6" t="s">
        <v>48</v>
      </c>
      <c r="G3" s="6" t="s">
        <v>21</v>
      </c>
      <c r="H3" s="6"/>
      <c r="I3" s="10">
        <v>6700</v>
      </c>
      <c r="K3">
        <f t="shared" ref="K3:K22" si="0">AVERAGE($D$2:$D$21)-D3</f>
        <v>-3.0499999999999972</v>
      </c>
      <c r="L3">
        <f t="shared" ref="L3:L22" si="1">ABS(K3)</f>
        <v>3.0499999999999972</v>
      </c>
      <c r="M3">
        <f t="shared" ref="M3:M22" si="2">ROUND(L3,0)</f>
        <v>3</v>
      </c>
      <c r="N3">
        <f t="shared" ref="N3:N22" si="3">ROUNDUP(L3,0)</f>
        <v>4</v>
      </c>
      <c r="O3">
        <f t="shared" ref="O3:O22" si="4">ROUNDDOWN(L3,0)</f>
        <v>3</v>
      </c>
      <c r="P3">
        <f t="shared" ref="P3:P22" si="5">TRUNC(L3)</f>
        <v>3</v>
      </c>
      <c r="Q3">
        <f t="shared" ref="Q3:Q22" si="6">INT(L3)</f>
        <v>3</v>
      </c>
    </row>
    <row r="4" spans="1:17" x14ac:dyDescent="0.45">
      <c r="A4" s="7" t="s">
        <v>55</v>
      </c>
      <c r="B4" s="7" t="s">
        <v>56</v>
      </c>
      <c r="C4" s="7" t="s">
        <v>57</v>
      </c>
      <c r="D4" s="8">
        <v>29</v>
      </c>
      <c r="E4" s="9">
        <v>44027</v>
      </c>
      <c r="F4" s="6" t="s">
        <v>48</v>
      </c>
      <c r="G4" s="6" t="s">
        <v>14</v>
      </c>
      <c r="H4" s="6"/>
      <c r="I4" s="10">
        <v>4900</v>
      </c>
      <c r="K4">
        <f t="shared" si="0"/>
        <v>5.9500000000000028</v>
      </c>
      <c r="L4">
        <f t="shared" si="1"/>
        <v>5.9500000000000028</v>
      </c>
      <c r="M4">
        <f t="shared" si="2"/>
        <v>6</v>
      </c>
      <c r="N4">
        <f t="shared" si="3"/>
        <v>6</v>
      </c>
      <c r="O4">
        <f t="shared" si="4"/>
        <v>5</v>
      </c>
      <c r="P4">
        <f t="shared" si="5"/>
        <v>5</v>
      </c>
      <c r="Q4">
        <f t="shared" si="6"/>
        <v>5</v>
      </c>
    </row>
    <row r="5" spans="1:17" x14ac:dyDescent="0.45">
      <c r="A5" s="7" t="s">
        <v>52</v>
      </c>
      <c r="B5" s="7" t="s">
        <v>53</v>
      </c>
      <c r="C5" s="7" t="s">
        <v>54</v>
      </c>
      <c r="D5" s="8">
        <v>26</v>
      </c>
      <c r="E5" s="9">
        <v>44613</v>
      </c>
      <c r="F5" s="6" t="s">
        <v>48</v>
      </c>
      <c r="G5" s="6" t="s">
        <v>17</v>
      </c>
      <c r="H5" s="6"/>
      <c r="I5" s="10">
        <v>3400</v>
      </c>
      <c r="K5">
        <f t="shared" si="0"/>
        <v>8.9500000000000028</v>
      </c>
      <c r="L5">
        <f t="shared" si="1"/>
        <v>8.9500000000000028</v>
      </c>
      <c r="M5">
        <f t="shared" si="2"/>
        <v>9</v>
      </c>
      <c r="N5">
        <f t="shared" si="3"/>
        <v>9</v>
      </c>
      <c r="O5">
        <f t="shared" si="4"/>
        <v>8</v>
      </c>
      <c r="P5">
        <f t="shared" si="5"/>
        <v>8</v>
      </c>
      <c r="Q5">
        <f t="shared" si="6"/>
        <v>8</v>
      </c>
    </row>
    <row r="6" spans="1:17" x14ac:dyDescent="0.45">
      <c r="A6" s="7" t="s">
        <v>5</v>
      </c>
      <c r="B6" s="7" t="s">
        <v>6</v>
      </c>
      <c r="C6" s="7" t="s">
        <v>7</v>
      </c>
      <c r="D6" s="8">
        <v>48</v>
      </c>
      <c r="E6" s="9">
        <v>38426</v>
      </c>
      <c r="F6" s="6" t="s">
        <v>8</v>
      </c>
      <c r="G6" s="6" t="s">
        <v>9</v>
      </c>
      <c r="H6" s="6" t="s">
        <v>10</v>
      </c>
      <c r="I6" s="10">
        <v>12000</v>
      </c>
      <c r="K6">
        <f t="shared" si="0"/>
        <v>-13.049999999999997</v>
      </c>
      <c r="L6">
        <f t="shared" si="1"/>
        <v>13.049999999999997</v>
      </c>
      <c r="M6">
        <f t="shared" si="2"/>
        <v>13</v>
      </c>
      <c r="N6">
        <f t="shared" si="3"/>
        <v>14</v>
      </c>
      <c r="O6">
        <f t="shared" si="4"/>
        <v>13</v>
      </c>
      <c r="P6">
        <f t="shared" si="5"/>
        <v>13</v>
      </c>
      <c r="Q6">
        <f t="shared" si="6"/>
        <v>13</v>
      </c>
    </row>
    <row r="7" spans="1:17" x14ac:dyDescent="0.45">
      <c r="A7" s="7" t="s">
        <v>18</v>
      </c>
      <c r="B7" s="7" t="s">
        <v>19</v>
      </c>
      <c r="C7" s="7" t="s">
        <v>20</v>
      </c>
      <c r="D7" s="8">
        <v>36</v>
      </c>
      <c r="E7" s="9">
        <v>41905</v>
      </c>
      <c r="F7" s="6" t="s">
        <v>8</v>
      </c>
      <c r="G7" s="6" t="s">
        <v>21</v>
      </c>
      <c r="H7" s="6"/>
      <c r="I7" s="10">
        <v>6000</v>
      </c>
      <c r="K7">
        <f t="shared" si="0"/>
        <v>-1.0499999999999972</v>
      </c>
      <c r="L7">
        <f t="shared" si="1"/>
        <v>1.0499999999999972</v>
      </c>
      <c r="M7">
        <f t="shared" si="2"/>
        <v>1</v>
      </c>
      <c r="N7">
        <f t="shared" si="3"/>
        <v>2</v>
      </c>
      <c r="O7">
        <f t="shared" si="4"/>
        <v>1</v>
      </c>
      <c r="P7">
        <f t="shared" si="5"/>
        <v>1</v>
      </c>
      <c r="Q7">
        <f t="shared" si="6"/>
        <v>1</v>
      </c>
    </row>
    <row r="8" spans="1:17" x14ac:dyDescent="0.45">
      <c r="A8" s="7" t="s">
        <v>11</v>
      </c>
      <c r="B8" s="7" t="s">
        <v>12</v>
      </c>
      <c r="C8" s="7" t="s">
        <v>13</v>
      </c>
      <c r="D8" s="8">
        <v>30</v>
      </c>
      <c r="E8" s="9">
        <v>43282</v>
      </c>
      <c r="F8" s="6" t="s">
        <v>8</v>
      </c>
      <c r="G8" s="6" t="s">
        <v>14</v>
      </c>
      <c r="H8" s="6"/>
      <c r="I8" s="10">
        <v>4800</v>
      </c>
      <c r="K8">
        <f t="shared" si="0"/>
        <v>4.9500000000000028</v>
      </c>
      <c r="L8">
        <f t="shared" si="1"/>
        <v>4.9500000000000028</v>
      </c>
      <c r="M8">
        <f t="shared" si="2"/>
        <v>5</v>
      </c>
      <c r="N8">
        <f t="shared" si="3"/>
        <v>5</v>
      </c>
      <c r="O8">
        <f t="shared" si="4"/>
        <v>4</v>
      </c>
      <c r="P8">
        <f t="shared" si="5"/>
        <v>4</v>
      </c>
      <c r="Q8">
        <f t="shared" si="6"/>
        <v>4</v>
      </c>
    </row>
    <row r="9" spans="1:17" x14ac:dyDescent="0.45">
      <c r="A9" s="7" t="s">
        <v>82</v>
      </c>
      <c r="B9" s="7" t="s">
        <v>15</v>
      </c>
      <c r="C9" s="7" t="s">
        <v>16</v>
      </c>
      <c r="D9" s="8">
        <v>26</v>
      </c>
      <c r="E9" s="9">
        <v>44571</v>
      </c>
      <c r="F9" s="6" t="s">
        <v>8</v>
      </c>
      <c r="G9" s="6" t="s">
        <v>17</v>
      </c>
      <c r="H9" s="6"/>
      <c r="I9" s="10">
        <v>3600</v>
      </c>
      <c r="K9">
        <f t="shared" si="0"/>
        <v>8.9500000000000028</v>
      </c>
      <c r="L9">
        <f t="shared" si="1"/>
        <v>8.9500000000000028</v>
      </c>
      <c r="M9">
        <f t="shared" si="2"/>
        <v>9</v>
      </c>
      <c r="N9">
        <f t="shared" si="3"/>
        <v>9</v>
      </c>
      <c r="O9">
        <f t="shared" si="4"/>
        <v>8</v>
      </c>
      <c r="P9">
        <f t="shared" si="5"/>
        <v>8</v>
      </c>
      <c r="Q9">
        <f t="shared" si="6"/>
        <v>8</v>
      </c>
    </row>
    <row r="10" spans="1:17" x14ac:dyDescent="0.45">
      <c r="A10" s="7" t="s">
        <v>22</v>
      </c>
      <c r="B10" s="7" t="s">
        <v>23</v>
      </c>
      <c r="C10" s="7" t="s">
        <v>24</v>
      </c>
      <c r="D10" s="8">
        <v>45</v>
      </c>
      <c r="E10" s="9">
        <v>39757</v>
      </c>
      <c r="F10" s="6" t="s">
        <v>25</v>
      </c>
      <c r="G10" s="6" t="s">
        <v>26</v>
      </c>
      <c r="H10" s="6" t="s">
        <v>10</v>
      </c>
      <c r="I10" s="10">
        <v>11000</v>
      </c>
      <c r="K10">
        <f t="shared" si="0"/>
        <v>-10.049999999999997</v>
      </c>
      <c r="L10">
        <f t="shared" si="1"/>
        <v>10.049999999999997</v>
      </c>
      <c r="M10">
        <f t="shared" si="2"/>
        <v>10</v>
      </c>
      <c r="N10">
        <f t="shared" si="3"/>
        <v>11</v>
      </c>
      <c r="O10">
        <f t="shared" si="4"/>
        <v>10</v>
      </c>
      <c r="P10">
        <f t="shared" si="5"/>
        <v>10</v>
      </c>
      <c r="Q10">
        <f t="shared" si="6"/>
        <v>10</v>
      </c>
    </row>
    <row r="11" spans="1:17" x14ac:dyDescent="0.45">
      <c r="A11" s="7" t="s">
        <v>71</v>
      </c>
      <c r="B11" s="7" t="s">
        <v>72</v>
      </c>
      <c r="C11" s="7" t="s">
        <v>73</v>
      </c>
      <c r="D11" s="8">
        <v>34</v>
      </c>
      <c r="E11" s="9">
        <v>42606</v>
      </c>
      <c r="F11" s="6" t="s">
        <v>25</v>
      </c>
      <c r="G11" s="6" t="s">
        <v>21</v>
      </c>
      <c r="H11" s="6"/>
      <c r="I11" s="10">
        <v>6900</v>
      </c>
      <c r="K11">
        <f t="shared" si="0"/>
        <v>0.95000000000000284</v>
      </c>
      <c r="L11">
        <f t="shared" si="1"/>
        <v>0.95000000000000284</v>
      </c>
      <c r="M11">
        <f t="shared" si="2"/>
        <v>1</v>
      </c>
      <c r="N11">
        <f t="shared" si="3"/>
        <v>1</v>
      </c>
      <c r="O11">
        <f t="shared" si="4"/>
        <v>0</v>
      </c>
      <c r="P11">
        <f t="shared" si="5"/>
        <v>0</v>
      </c>
      <c r="Q11">
        <f t="shared" si="6"/>
        <v>0</v>
      </c>
    </row>
    <row r="12" spans="1:17" x14ac:dyDescent="0.45">
      <c r="A12" s="7" t="s">
        <v>27</v>
      </c>
      <c r="B12" s="7" t="s">
        <v>28</v>
      </c>
      <c r="C12" s="7" t="s">
        <v>29</v>
      </c>
      <c r="D12" s="8">
        <v>31</v>
      </c>
      <c r="E12" s="9">
        <v>43542</v>
      </c>
      <c r="F12" s="6" t="s">
        <v>25</v>
      </c>
      <c r="G12" s="6" t="s">
        <v>14</v>
      </c>
      <c r="H12" s="6"/>
      <c r="I12" s="10">
        <v>5100</v>
      </c>
      <c r="K12">
        <f t="shared" si="0"/>
        <v>3.9500000000000028</v>
      </c>
      <c r="L12">
        <f t="shared" si="1"/>
        <v>3.9500000000000028</v>
      </c>
      <c r="M12">
        <f t="shared" si="2"/>
        <v>4</v>
      </c>
      <c r="N12">
        <f t="shared" si="3"/>
        <v>4</v>
      </c>
      <c r="O12">
        <f t="shared" si="4"/>
        <v>3</v>
      </c>
      <c r="P12">
        <f t="shared" si="5"/>
        <v>3</v>
      </c>
      <c r="Q12">
        <f t="shared" si="6"/>
        <v>3</v>
      </c>
    </row>
    <row r="13" spans="1:17" x14ac:dyDescent="0.45">
      <c r="A13" s="7" t="s">
        <v>30</v>
      </c>
      <c r="B13" s="7" t="s">
        <v>92</v>
      </c>
      <c r="C13" s="7" t="s">
        <v>31</v>
      </c>
      <c r="D13" s="8">
        <v>27</v>
      </c>
      <c r="E13" s="9">
        <v>44410</v>
      </c>
      <c r="F13" s="6" t="s">
        <v>25</v>
      </c>
      <c r="G13" s="6" t="s">
        <v>17</v>
      </c>
      <c r="H13" s="6"/>
      <c r="I13" s="10">
        <v>3400</v>
      </c>
      <c r="K13">
        <f t="shared" si="0"/>
        <v>7.9500000000000028</v>
      </c>
      <c r="L13">
        <f t="shared" si="1"/>
        <v>7.9500000000000028</v>
      </c>
      <c r="M13">
        <f t="shared" si="2"/>
        <v>8</v>
      </c>
      <c r="N13">
        <f t="shared" si="3"/>
        <v>8</v>
      </c>
      <c r="O13">
        <f t="shared" si="4"/>
        <v>7</v>
      </c>
      <c r="P13">
        <f t="shared" si="5"/>
        <v>7</v>
      </c>
      <c r="Q13">
        <f t="shared" si="6"/>
        <v>7</v>
      </c>
    </row>
    <row r="14" spans="1:17" x14ac:dyDescent="0.45">
      <c r="A14" s="7" t="s">
        <v>58</v>
      </c>
      <c r="B14" s="7" t="s">
        <v>59</v>
      </c>
      <c r="C14" s="7" t="s">
        <v>60</v>
      </c>
      <c r="D14" s="8">
        <v>49</v>
      </c>
      <c r="E14" s="9">
        <v>37679</v>
      </c>
      <c r="F14" s="6" t="s">
        <v>61</v>
      </c>
      <c r="G14" s="6" t="s">
        <v>9</v>
      </c>
      <c r="H14" s="6" t="s">
        <v>10</v>
      </c>
      <c r="I14" s="10">
        <v>14500</v>
      </c>
      <c r="K14">
        <f t="shared" si="0"/>
        <v>-14.049999999999997</v>
      </c>
      <c r="L14">
        <f t="shared" si="1"/>
        <v>14.049999999999997</v>
      </c>
      <c r="M14">
        <f t="shared" si="2"/>
        <v>14</v>
      </c>
      <c r="N14">
        <f t="shared" si="3"/>
        <v>15</v>
      </c>
      <c r="O14">
        <f t="shared" si="4"/>
        <v>14</v>
      </c>
      <c r="P14">
        <f t="shared" si="5"/>
        <v>14</v>
      </c>
      <c r="Q14">
        <f t="shared" si="6"/>
        <v>14</v>
      </c>
    </row>
    <row r="15" spans="1:17" x14ac:dyDescent="0.45">
      <c r="A15" s="7" t="s">
        <v>62</v>
      </c>
      <c r="B15" s="7" t="s">
        <v>63</v>
      </c>
      <c r="C15" s="7" t="s">
        <v>64</v>
      </c>
      <c r="D15" s="8">
        <v>37</v>
      </c>
      <c r="E15" s="9">
        <v>41242</v>
      </c>
      <c r="F15" s="6" t="s">
        <v>61</v>
      </c>
      <c r="G15" s="6" t="s">
        <v>21</v>
      </c>
      <c r="H15" s="6"/>
      <c r="I15" s="10">
        <v>7500</v>
      </c>
      <c r="K15">
        <f t="shared" si="0"/>
        <v>-2.0499999999999972</v>
      </c>
      <c r="L15">
        <f t="shared" si="1"/>
        <v>2.0499999999999972</v>
      </c>
      <c r="M15">
        <f t="shared" si="2"/>
        <v>2</v>
      </c>
      <c r="N15">
        <f t="shared" si="3"/>
        <v>3</v>
      </c>
      <c r="O15">
        <f t="shared" si="4"/>
        <v>2</v>
      </c>
      <c r="P15">
        <f t="shared" si="5"/>
        <v>2</v>
      </c>
      <c r="Q15">
        <f t="shared" si="6"/>
        <v>2</v>
      </c>
    </row>
    <row r="16" spans="1:17" x14ac:dyDescent="0.45">
      <c r="A16" s="7" t="s">
        <v>65</v>
      </c>
      <c r="B16" s="7" t="s">
        <v>66</v>
      </c>
      <c r="C16" s="7" t="s">
        <v>67</v>
      </c>
      <c r="D16" s="8">
        <v>30</v>
      </c>
      <c r="E16" s="9">
        <v>43385</v>
      </c>
      <c r="F16" s="6" t="s">
        <v>61</v>
      </c>
      <c r="G16" s="6" t="s">
        <v>14</v>
      </c>
      <c r="H16" s="6"/>
      <c r="I16" s="10">
        <v>5800</v>
      </c>
      <c r="K16">
        <f t="shared" si="0"/>
        <v>4.9500000000000028</v>
      </c>
      <c r="L16">
        <f t="shared" si="1"/>
        <v>4.9500000000000028</v>
      </c>
      <c r="M16">
        <f t="shared" si="2"/>
        <v>5</v>
      </c>
      <c r="N16">
        <f t="shared" si="3"/>
        <v>5</v>
      </c>
      <c r="O16">
        <f t="shared" si="4"/>
        <v>4</v>
      </c>
      <c r="P16">
        <f t="shared" si="5"/>
        <v>4</v>
      </c>
      <c r="Q16">
        <f t="shared" si="6"/>
        <v>4</v>
      </c>
    </row>
    <row r="17" spans="1:17" x14ac:dyDescent="0.45">
      <c r="A17" s="7" t="s">
        <v>68</v>
      </c>
      <c r="B17" s="7" t="s">
        <v>69</v>
      </c>
      <c r="C17" s="7" t="s">
        <v>70</v>
      </c>
      <c r="D17" s="8">
        <v>27</v>
      </c>
      <c r="E17" s="9">
        <v>44719</v>
      </c>
      <c r="F17" s="6" t="s">
        <v>61</v>
      </c>
      <c r="G17" s="6" t="s">
        <v>17</v>
      </c>
      <c r="H17" s="6"/>
      <c r="I17" s="10">
        <v>4300</v>
      </c>
      <c r="K17">
        <f t="shared" si="0"/>
        <v>7.9500000000000028</v>
      </c>
      <c r="L17">
        <f t="shared" si="1"/>
        <v>7.9500000000000028</v>
      </c>
      <c r="M17">
        <f t="shared" si="2"/>
        <v>8</v>
      </c>
      <c r="N17">
        <f t="shared" si="3"/>
        <v>8</v>
      </c>
      <c r="O17">
        <f t="shared" si="4"/>
        <v>7</v>
      </c>
      <c r="P17">
        <f t="shared" si="5"/>
        <v>7</v>
      </c>
      <c r="Q17">
        <f t="shared" si="6"/>
        <v>7</v>
      </c>
    </row>
    <row r="18" spans="1:17" x14ac:dyDescent="0.45">
      <c r="A18" s="7" t="s">
        <v>32</v>
      </c>
      <c r="B18" s="7" t="s">
        <v>33</v>
      </c>
      <c r="C18" s="7" t="s">
        <v>34</v>
      </c>
      <c r="D18" s="8">
        <v>47</v>
      </c>
      <c r="E18" s="9">
        <v>38127</v>
      </c>
      <c r="F18" s="6" t="s">
        <v>35</v>
      </c>
      <c r="G18" s="6" t="s">
        <v>9</v>
      </c>
      <c r="H18" s="6" t="s">
        <v>10</v>
      </c>
      <c r="I18" s="10">
        <v>14000</v>
      </c>
      <c r="K18">
        <f t="shared" si="0"/>
        <v>-12.049999999999997</v>
      </c>
      <c r="L18">
        <f t="shared" si="1"/>
        <v>12.049999999999997</v>
      </c>
      <c r="M18">
        <f t="shared" si="2"/>
        <v>12</v>
      </c>
      <c r="N18">
        <f t="shared" si="3"/>
        <v>13</v>
      </c>
      <c r="O18">
        <f t="shared" si="4"/>
        <v>12</v>
      </c>
      <c r="P18">
        <f t="shared" si="5"/>
        <v>12</v>
      </c>
      <c r="Q18">
        <f t="shared" si="6"/>
        <v>12</v>
      </c>
    </row>
    <row r="19" spans="1:17" x14ac:dyDescent="0.45">
      <c r="A19" s="7" t="s">
        <v>36</v>
      </c>
      <c r="B19" s="7" t="s">
        <v>37</v>
      </c>
      <c r="C19" s="7" t="s">
        <v>38</v>
      </c>
      <c r="D19" s="8">
        <v>35</v>
      </c>
      <c r="E19" s="9">
        <v>42352</v>
      </c>
      <c r="F19" s="6" t="s">
        <v>35</v>
      </c>
      <c r="G19" s="6" t="s">
        <v>21</v>
      </c>
      <c r="H19" s="6"/>
      <c r="I19" s="10">
        <v>7300</v>
      </c>
      <c r="K19">
        <f t="shared" si="0"/>
        <v>-4.9999999999997158E-2</v>
      </c>
      <c r="L19">
        <f t="shared" si="1"/>
        <v>4.9999999999997158E-2</v>
      </c>
      <c r="M19">
        <f t="shared" si="2"/>
        <v>0</v>
      </c>
      <c r="N19">
        <f t="shared" si="3"/>
        <v>1</v>
      </c>
      <c r="O19">
        <f t="shared" si="4"/>
        <v>0</v>
      </c>
      <c r="P19">
        <f t="shared" si="5"/>
        <v>0</v>
      </c>
      <c r="Q19">
        <f t="shared" si="6"/>
        <v>0</v>
      </c>
    </row>
    <row r="20" spans="1:17" x14ac:dyDescent="0.45">
      <c r="A20" s="7" t="s">
        <v>39</v>
      </c>
      <c r="B20" s="7" t="s">
        <v>40</v>
      </c>
      <c r="C20" s="7" t="s">
        <v>41</v>
      </c>
      <c r="D20" s="8">
        <v>32</v>
      </c>
      <c r="E20" s="9">
        <v>43220</v>
      </c>
      <c r="F20" s="6" t="s">
        <v>35</v>
      </c>
      <c r="G20" s="6" t="s">
        <v>14</v>
      </c>
      <c r="H20" s="6"/>
      <c r="I20" s="10">
        <v>6000</v>
      </c>
      <c r="K20">
        <f t="shared" si="0"/>
        <v>2.9500000000000028</v>
      </c>
      <c r="L20">
        <f t="shared" si="1"/>
        <v>2.9500000000000028</v>
      </c>
      <c r="M20">
        <f t="shared" si="2"/>
        <v>3</v>
      </c>
      <c r="N20">
        <f t="shared" si="3"/>
        <v>3</v>
      </c>
      <c r="O20">
        <f t="shared" si="4"/>
        <v>2</v>
      </c>
      <c r="P20">
        <f t="shared" si="5"/>
        <v>2</v>
      </c>
      <c r="Q20">
        <f t="shared" si="6"/>
        <v>2</v>
      </c>
    </row>
    <row r="21" spans="1:17" x14ac:dyDescent="0.45">
      <c r="A21" s="7" t="s">
        <v>42</v>
      </c>
      <c r="B21" s="7" t="s">
        <v>43</v>
      </c>
      <c r="C21" s="7" t="s">
        <v>44</v>
      </c>
      <c r="D21" s="8">
        <v>28</v>
      </c>
      <c r="E21" s="9">
        <v>44326</v>
      </c>
      <c r="F21" s="6" t="s">
        <v>35</v>
      </c>
      <c r="G21" s="6" t="s">
        <v>17</v>
      </c>
      <c r="H21" s="6"/>
      <c r="I21" s="10">
        <v>4500</v>
      </c>
      <c r="K21">
        <f t="shared" si="0"/>
        <v>6.9500000000000028</v>
      </c>
      <c r="L21">
        <f t="shared" si="1"/>
        <v>6.9500000000000028</v>
      </c>
      <c r="M21">
        <f t="shared" si="2"/>
        <v>7</v>
      </c>
      <c r="N21">
        <f t="shared" si="3"/>
        <v>7</v>
      </c>
      <c r="O21">
        <f t="shared" si="4"/>
        <v>6</v>
      </c>
      <c r="P21">
        <f t="shared" si="5"/>
        <v>6</v>
      </c>
      <c r="Q21">
        <f t="shared" si="6"/>
        <v>6</v>
      </c>
    </row>
    <row r="22" spans="1:17" x14ac:dyDescent="0.45">
      <c r="K22">
        <f t="shared" si="0"/>
        <v>34.950000000000003</v>
      </c>
      <c r="L22">
        <f t="shared" si="1"/>
        <v>34.950000000000003</v>
      </c>
      <c r="M22">
        <f t="shared" si="2"/>
        <v>35</v>
      </c>
      <c r="N22">
        <f t="shared" si="3"/>
        <v>35</v>
      </c>
      <c r="O22">
        <f t="shared" si="4"/>
        <v>34</v>
      </c>
      <c r="P22">
        <f t="shared" si="5"/>
        <v>34</v>
      </c>
      <c r="Q22">
        <f t="shared" si="6"/>
        <v>34</v>
      </c>
    </row>
    <row r="23" spans="1:17" x14ac:dyDescent="0.45">
      <c r="D23" s="26" t="s">
        <v>160</v>
      </c>
      <c r="E23" s="26"/>
      <c r="F23" s="26"/>
      <c r="G23" s="26"/>
      <c r="H23" s="26"/>
    </row>
    <row r="24" spans="1:17" x14ac:dyDescent="0.45">
      <c r="D24" s="26"/>
      <c r="E24" s="26"/>
      <c r="F24" s="26"/>
      <c r="G24" s="26"/>
      <c r="H24" s="26"/>
    </row>
    <row r="25" spans="1:17" x14ac:dyDescent="0.45">
      <c r="D25" s="26"/>
      <c r="E25" s="26"/>
      <c r="F25" s="26"/>
      <c r="G25" s="26"/>
      <c r="H25" s="26"/>
    </row>
    <row r="26" spans="1:17" x14ac:dyDescent="0.45">
      <c r="D26" s="26"/>
      <c r="E26" s="26"/>
      <c r="F26" s="26"/>
      <c r="G26" s="26"/>
      <c r="H26" s="26"/>
    </row>
    <row r="27" spans="1:17" x14ac:dyDescent="0.45">
      <c r="D27" s="26"/>
      <c r="E27" s="26"/>
      <c r="F27" s="26"/>
      <c r="G27" s="26"/>
      <c r="H27" s="26"/>
    </row>
    <row r="28" spans="1:17" x14ac:dyDescent="0.45">
      <c r="D28" s="26"/>
      <c r="E28" s="26"/>
      <c r="F28" s="26"/>
      <c r="G28" s="26"/>
      <c r="H28" s="26"/>
    </row>
    <row r="29" spans="1:17" x14ac:dyDescent="0.45">
      <c r="D29" s="26"/>
      <c r="E29" s="26"/>
      <c r="F29" s="26"/>
      <c r="G29" s="26"/>
      <c r="H29" s="26"/>
    </row>
    <row r="30" spans="1:17" x14ac:dyDescent="0.45">
      <c r="D30" s="26"/>
      <c r="E30" s="26"/>
      <c r="F30" s="26"/>
      <c r="G30" s="26"/>
      <c r="H30" s="26"/>
    </row>
    <row r="31" spans="1:17" x14ac:dyDescent="0.45">
      <c r="D31" s="26"/>
      <c r="E31" s="26"/>
      <c r="F31" s="26"/>
      <c r="G31" s="26"/>
      <c r="H31" s="26"/>
    </row>
    <row r="35" spans="1:12" x14ac:dyDescent="0.45">
      <c r="A35" s="7" t="s">
        <v>76</v>
      </c>
      <c r="B35" s="7" t="s">
        <v>0</v>
      </c>
      <c r="C35" s="7" t="s">
        <v>1</v>
      </c>
      <c r="D35" s="8" t="s">
        <v>4</v>
      </c>
      <c r="E35" s="9" t="s">
        <v>74</v>
      </c>
      <c r="F35" s="6" t="s">
        <v>2</v>
      </c>
      <c r="G35" s="6" t="s">
        <v>75</v>
      </c>
      <c r="H35" s="6" t="s">
        <v>3</v>
      </c>
      <c r="I35" s="10" t="s">
        <v>77</v>
      </c>
      <c r="K35" s="6" t="s">
        <v>145</v>
      </c>
      <c r="L35" s="6" t="s">
        <v>146</v>
      </c>
    </row>
    <row r="36" spans="1:12" x14ac:dyDescent="0.45">
      <c r="A36" s="7" t="s">
        <v>45</v>
      </c>
      <c r="B36" s="7" t="s">
        <v>46</v>
      </c>
      <c r="C36" s="7" t="s">
        <v>47</v>
      </c>
      <c r="D36" s="8">
        <v>44</v>
      </c>
      <c r="E36" s="9">
        <v>40073</v>
      </c>
      <c r="F36" s="6" t="s">
        <v>48</v>
      </c>
      <c r="G36" s="6" t="s">
        <v>26</v>
      </c>
      <c r="H36" s="6" t="s">
        <v>10</v>
      </c>
      <c r="I36" s="10">
        <v>11500</v>
      </c>
      <c r="K36">
        <f>_xlfn.RANK.EQ(I36,$I$36:$I$55)</f>
        <v>4</v>
      </c>
      <c r="L36">
        <f>_xlfn.RANK.EQ(I36,$I$36:$I$55,1)</f>
        <v>17</v>
      </c>
    </row>
    <row r="37" spans="1:12" x14ac:dyDescent="0.45">
      <c r="A37" s="7" t="s">
        <v>49</v>
      </c>
      <c r="B37" s="7" t="s">
        <v>50</v>
      </c>
      <c r="C37" s="7" t="s">
        <v>51</v>
      </c>
      <c r="D37" s="8">
        <v>38</v>
      </c>
      <c r="E37" s="9">
        <v>41430</v>
      </c>
      <c r="F37" s="6" t="s">
        <v>48</v>
      </c>
      <c r="G37" s="6" t="s">
        <v>21</v>
      </c>
      <c r="H37" s="6"/>
      <c r="I37" s="10">
        <v>6700</v>
      </c>
      <c r="K37">
        <f t="shared" ref="K37:K55" si="7">_xlfn.RANK.EQ(I37,$I$36:$I$55)</f>
        <v>9</v>
      </c>
      <c r="L37">
        <f t="shared" ref="L37:L55" si="8">_xlfn.RANK.EQ(I37,$I$36:$I$55,1)</f>
        <v>12</v>
      </c>
    </row>
    <row r="38" spans="1:12" x14ac:dyDescent="0.45">
      <c r="A38" s="7" t="s">
        <v>55</v>
      </c>
      <c r="B38" s="7" t="s">
        <v>56</v>
      </c>
      <c r="C38" s="7" t="s">
        <v>57</v>
      </c>
      <c r="D38" s="8">
        <v>29</v>
      </c>
      <c r="E38" s="9">
        <v>44027</v>
      </c>
      <c r="F38" s="6" t="s">
        <v>48</v>
      </c>
      <c r="G38" s="6" t="s">
        <v>14</v>
      </c>
      <c r="H38" s="6"/>
      <c r="I38" s="10">
        <v>4900</v>
      </c>
      <c r="K38">
        <f t="shared" si="7"/>
        <v>14</v>
      </c>
      <c r="L38">
        <f t="shared" si="8"/>
        <v>7</v>
      </c>
    </row>
    <row r="39" spans="1:12" x14ac:dyDescent="0.45">
      <c r="A39" s="7" t="s">
        <v>52</v>
      </c>
      <c r="B39" s="7" t="s">
        <v>53</v>
      </c>
      <c r="C39" s="7" t="s">
        <v>54</v>
      </c>
      <c r="D39" s="8">
        <v>26</v>
      </c>
      <c r="E39" s="9">
        <v>44613</v>
      </c>
      <c r="F39" s="6" t="s">
        <v>48</v>
      </c>
      <c r="G39" s="6" t="s">
        <v>17</v>
      </c>
      <c r="H39" s="6"/>
      <c r="I39" s="10">
        <v>3400</v>
      </c>
      <c r="K39">
        <f t="shared" si="7"/>
        <v>19</v>
      </c>
      <c r="L39">
        <f t="shared" si="8"/>
        <v>1</v>
      </c>
    </row>
    <row r="40" spans="1:12" x14ac:dyDescent="0.45">
      <c r="A40" s="7" t="s">
        <v>5</v>
      </c>
      <c r="B40" s="7" t="s">
        <v>6</v>
      </c>
      <c r="C40" s="7" t="s">
        <v>7</v>
      </c>
      <c r="D40" s="8">
        <v>48</v>
      </c>
      <c r="E40" s="9">
        <v>38426</v>
      </c>
      <c r="F40" s="6" t="s">
        <v>8</v>
      </c>
      <c r="G40" s="6" t="s">
        <v>9</v>
      </c>
      <c r="H40" s="6" t="s">
        <v>10</v>
      </c>
      <c r="I40" s="10">
        <v>12000</v>
      </c>
      <c r="K40">
        <f t="shared" si="7"/>
        <v>3</v>
      </c>
      <c r="L40">
        <f t="shared" si="8"/>
        <v>18</v>
      </c>
    </row>
    <row r="41" spans="1:12" x14ac:dyDescent="0.45">
      <c r="A41" s="7" t="s">
        <v>18</v>
      </c>
      <c r="B41" s="7" t="s">
        <v>19</v>
      </c>
      <c r="C41" s="7" t="s">
        <v>20</v>
      </c>
      <c r="D41" s="8">
        <v>36</v>
      </c>
      <c r="E41" s="9">
        <v>41905</v>
      </c>
      <c r="F41" s="6" t="s">
        <v>8</v>
      </c>
      <c r="G41" s="6" t="s">
        <v>21</v>
      </c>
      <c r="H41" s="6"/>
      <c r="I41" s="10">
        <v>6000</v>
      </c>
      <c r="K41">
        <f t="shared" si="7"/>
        <v>10</v>
      </c>
      <c r="L41">
        <f t="shared" si="8"/>
        <v>10</v>
      </c>
    </row>
    <row r="42" spans="1:12" x14ac:dyDescent="0.45">
      <c r="A42" s="7" t="s">
        <v>11</v>
      </c>
      <c r="B42" s="7" t="s">
        <v>12</v>
      </c>
      <c r="C42" s="7" t="s">
        <v>13</v>
      </c>
      <c r="D42" s="8">
        <v>30</v>
      </c>
      <c r="E42" s="9">
        <v>43282</v>
      </c>
      <c r="F42" s="6" t="s">
        <v>8</v>
      </c>
      <c r="G42" s="6" t="s">
        <v>14</v>
      </c>
      <c r="H42" s="6"/>
      <c r="I42" s="10">
        <v>4800</v>
      </c>
      <c r="K42">
        <f t="shared" si="7"/>
        <v>15</v>
      </c>
      <c r="L42">
        <f t="shared" si="8"/>
        <v>6</v>
      </c>
    </row>
    <row r="43" spans="1:12" x14ac:dyDescent="0.45">
      <c r="A43" s="7" t="s">
        <v>82</v>
      </c>
      <c r="B43" s="7" t="s">
        <v>15</v>
      </c>
      <c r="C43" s="7" t="s">
        <v>16</v>
      </c>
      <c r="D43" s="8">
        <v>26</v>
      </c>
      <c r="E43" s="9">
        <v>44571</v>
      </c>
      <c r="F43" s="6" t="s">
        <v>8</v>
      </c>
      <c r="G43" s="6" t="s">
        <v>17</v>
      </c>
      <c r="H43" s="6"/>
      <c r="I43" s="10">
        <v>3600</v>
      </c>
      <c r="K43">
        <f t="shared" si="7"/>
        <v>18</v>
      </c>
      <c r="L43">
        <f t="shared" si="8"/>
        <v>3</v>
      </c>
    </row>
    <row r="44" spans="1:12" x14ac:dyDescent="0.45">
      <c r="A44" s="7" t="s">
        <v>22</v>
      </c>
      <c r="B44" s="7" t="s">
        <v>23</v>
      </c>
      <c r="C44" s="7" t="s">
        <v>24</v>
      </c>
      <c r="D44" s="8">
        <v>45</v>
      </c>
      <c r="E44" s="9">
        <v>39757</v>
      </c>
      <c r="F44" s="6" t="s">
        <v>25</v>
      </c>
      <c r="G44" s="6" t="s">
        <v>26</v>
      </c>
      <c r="H44" s="6" t="s">
        <v>10</v>
      </c>
      <c r="I44" s="10">
        <v>11000</v>
      </c>
      <c r="K44">
        <f t="shared" si="7"/>
        <v>5</v>
      </c>
      <c r="L44">
        <f t="shared" si="8"/>
        <v>16</v>
      </c>
    </row>
    <row r="45" spans="1:12" x14ac:dyDescent="0.45">
      <c r="A45" s="7" t="s">
        <v>71</v>
      </c>
      <c r="B45" s="7" t="s">
        <v>72</v>
      </c>
      <c r="C45" s="7" t="s">
        <v>73</v>
      </c>
      <c r="D45" s="8">
        <v>34</v>
      </c>
      <c r="E45" s="9">
        <v>42606</v>
      </c>
      <c r="F45" s="6" t="s">
        <v>25</v>
      </c>
      <c r="G45" s="6" t="s">
        <v>21</v>
      </c>
      <c r="H45" s="6"/>
      <c r="I45" s="10">
        <v>6900</v>
      </c>
      <c r="K45">
        <f t="shared" si="7"/>
        <v>8</v>
      </c>
      <c r="L45">
        <f t="shared" si="8"/>
        <v>13</v>
      </c>
    </row>
    <row r="46" spans="1:12" x14ac:dyDescent="0.45">
      <c r="A46" s="7" t="s">
        <v>27</v>
      </c>
      <c r="B46" s="7" t="s">
        <v>28</v>
      </c>
      <c r="C46" s="7" t="s">
        <v>29</v>
      </c>
      <c r="D46" s="8">
        <v>31</v>
      </c>
      <c r="E46" s="9">
        <v>43542</v>
      </c>
      <c r="F46" s="6" t="s">
        <v>25</v>
      </c>
      <c r="G46" s="6" t="s">
        <v>14</v>
      </c>
      <c r="H46" s="6"/>
      <c r="I46" s="10">
        <v>5100</v>
      </c>
      <c r="K46">
        <f t="shared" si="7"/>
        <v>13</v>
      </c>
      <c r="L46">
        <f t="shared" si="8"/>
        <v>8</v>
      </c>
    </row>
    <row r="47" spans="1:12" x14ac:dyDescent="0.45">
      <c r="A47" s="7" t="s">
        <v>30</v>
      </c>
      <c r="B47" s="7" t="s">
        <v>92</v>
      </c>
      <c r="C47" s="7" t="s">
        <v>31</v>
      </c>
      <c r="D47" s="8">
        <v>27</v>
      </c>
      <c r="E47" s="9">
        <v>44410</v>
      </c>
      <c r="F47" s="6" t="s">
        <v>25</v>
      </c>
      <c r="G47" s="6" t="s">
        <v>17</v>
      </c>
      <c r="H47" s="6"/>
      <c r="I47" s="10">
        <v>3400</v>
      </c>
      <c r="K47">
        <f t="shared" si="7"/>
        <v>19</v>
      </c>
      <c r="L47">
        <f t="shared" si="8"/>
        <v>1</v>
      </c>
    </row>
    <row r="48" spans="1:12" x14ac:dyDescent="0.45">
      <c r="A48" s="7" t="s">
        <v>58</v>
      </c>
      <c r="B48" s="7" t="s">
        <v>59</v>
      </c>
      <c r="C48" s="7" t="s">
        <v>60</v>
      </c>
      <c r="D48" s="8">
        <v>49</v>
      </c>
      <c r="E48" s="9">
        <v>37679</v>
      </c>
      <c r="F48" s="6" t="s">
        <v>61</v>
      </c>
      <c r="G48" s="6" t="s">
        <v>9</v>
      </c>
      <c r="H48" s="6" t="s">
        <v>10</v>
      </c>
      <c r="I48" s="10">
        <v>14500</v>
      </c>
      <c r="K48">
        <f t="shared" si="7"/>
        <v>1</v>
      </c>
      <c r="L48">
        <f t="shared" si="8"/>
        <v>20</v>
      </c>
    </row>
    <row r="49" spans="1:14" x14ac:dyDescent="0.45">
      <c r="A49" s="7" t="s">
        <v>62</v>
      </c>
      <c r="B49" s="7" t="s">
        <v>63</v>
      </c>
      <c r="C49" s="7" t="s">
        <v>64</v>
      </c>
      <c r="D49" s="8">
        <v>37</v>
      </c>
      <c r="E49" s="9">
        <v>41242</v>
      </c>
      <c r="F49" s="6" t="s">
        <v>61</v>
      </c>
      <c r="G49" s="6" t="s">
        <v>21</v>
      </c>
      <c r="H49" s="6"/>
      <c r="I49" s="10">
        <v>7500</v>
      </c>
      <c r="K49">
        <f t="shared" si="7"/>
        <v>6</v>
      </c>
      <c r="L49">
        <f t="shared" si="8"/>
        <v>15</v>
      </c>
    </row>
    <row r="50" spans="1:14" x14ac:dyDescent="0.45">
      <c r="A50" s="7" t="s">
        <v>65</v>
      </c>
      <c r="B50" s="7" t="s">
        <v>66</v>
      </c>
      <c r="C50" s="7" t="s">
        <v>67</v>
      </c>
      <c r="D50" s="8">
        <v>30</v>
      </c>
      <c r="E50" s="9">
        <v>43385</v>
      </c>
      <c r="F50" s="6" t="s">
        <v>61</v>
      </c>
      <c r="G50" s="6" t="s">
        <v>14</v>
      </c>
      <c r="H50" s="6"/>
      <c r="I50" s="10">
        <v>5800</v>
      </c>
      <c r="K50">
        <f t="shared" si="7"/>
        <v>12</v>
      </c>
      <c r="L50">
        <f t="shared" si="8"/>
        <v>9</v>
      </c>
    </row>
    <row r="51" spans="1:14" x14ac:dyDescent="0.45">
      <c r="A51" s="7" t="s">
        <v>68</v>
      </c>
      <c r="B51" s="7" t="s">
        <v>69</v>
      </c>
      <c r="C51" s="7" t="s">
        <v>70</v>
      </c>
      <c r="D51" s="8">
        <v>27</v>
      </c>
      <c r="E51" s="9">
        <v>44719</v>
      </c>
      <c r="F51" s="6" t="s">
        <v>61</v>
      </c>
      <c r="G51" s="6" t="s">
        <v>17</v>
      </c>
      <c r="H51" s="6"/>
      <c r="I51" s="10">
        <v>4300</v>
      </c>
      <c r="K51">
        <f t="shared" si="7"/>
        <v>17</v>
      </c>
      <c r="L51">
        <f t="shared" si="8"/>
        <v>4</v>
      </c>
    </row>
    <row r="52" spans="1:14" x14ac:dyDescent="0.45">
      <c r="A52" s="7" t="s">
        <v>32</v>
      </c>
      <c r="B52" s="7" t="s">
        <v>33</v>
      </c>
      <c r="C52" s="7" t="s">
        <v>34</v>
      </c>
      <c r="D52" s="8">
        <v>47</v>
      </c>
      <c r="E52" s="9">
        <v>38127</v>
      </c>
      <c r="F52" s="6" t="s">
        <v>35</v>
      </c>
      <c r="G52" s="6" t="s">
        <v>9</v>
      </c>
      <c r="H52" s="6" t="s">
        <v>10</v>
      </c>
      <c r="I52" s="10">
        <v>14000</v>
      </c>
      <c r="K52">
        <f t="shared" si="7"/>
        <v>2</v>
      </c>
      <c r="L52">
        <f t="shared" si="8"/>
        <v>19</v>
      </c>
    </row>
    <row r="53" spans="1:14" x14ac:dyDescent="0.45">
      <c r="A53" s="7" t="s">
        <v>36</v>
      </c>
      <c r="B53" s="7" t="s">
        <v>37</v>
      </c>
      <c r="C53" s="7" t="s">
        <v>38</v>
      </c>
      <c r="D53" s="8">
        <v>35</v>
      </c>
      <c r="E53" s="9">
        <v>42352</v>
      </c>
      <c r="F53" s="6" t="s">
        <v>35</v>
      </c>
      <c r="G53" s="6" t="s">
        <v>21</v>
      </c>
      <c r="H53" s="6"/>
      <c r="I53" s="10">
        <v>7300</v>
      </c>
      <c r="K53">
        <f t="shared" si="7"/>
        <v>7</v>
      </c>
      <c r="L53">
        <f t="shared" si="8"/>
        <v>14</v>
      </c>
    </row>
    <row r="54" spans="1:14" x14ac:dyDescent="0.45">
      <c r="A54" s="7" t="s">
        <v>39</v>
      </c>
      <c r="B54" s="7" t="s">
        <v>40</v>
      </c>
      <c r="C54" s="7" t="s">
        <v>41</v>
      </c>
      <c r="D54" s="8">
        <v>32</v>
      </c>
      <c r="E54" s="9">
        <v>43220</v>
      </c>
      <c r="F54" s="6" t="s">
        <v>35</v>
      </c>
      <c r="G54" s="6" t="s">
        <v>14</v>
      </c>
      <c r="H54" s="6"/>
      <c r="I54" s="10">
        <v>6000</v>
      </c>
      <c r="K54">
        <f t="shared" si="7"/>
        <v>10</v>
      </c>
      <c r="L54">
        <f t="shared" si="8"/>
        <v>10</v>
      </c>
    </row>
    <row r="55" spans="1:14" x14ac:dyDescent="0.45">
      <c r="A55" s="7" t="s">
        <v>42</v>
      </c>
      <c r="B55" s="7" t="s">
        <v>43</v>
      </c>
      <c r="C55" s="7" t="s">
        <v>44</v>
      </c>
      <c r="D55" s="8">
        <v>28</v>
      </c>
      <c r="E55" s="9">
        <v>44326</v>
      </c>
      <c r="F55" s="6" t="s">
        <v>35</v>
      </c>
      <c r="G55" s="6" t="s">
        <v>17</v>
      </c>
      <c r="H55" s="6"/>
      <c r="I55" s="10">
        <v>4500</v>
      </c>
      <c r="K55">
        <f t="shared" si="7"/>
        <v>16</v>
      </c>
      <c r="L55">
        <f t="shared" si="8"/>
        <v>5</v>
      </c>
    </row>
    <row r="56" spans="1:14" x14ac:dyDescent="0.45">
      <c r="J56" t="s">
        <v>147</v>
      </c>
      <c r="K56">
        <f>LARGE(I36:I55,5)</f>
        <v>11000</v>
      </c>
      <c r="L56">
        <f>SMALL(I36:I55,5)</f>
        <v>4500</v>
      </c>
      <c r="M56">
        <f>_xlfn.PERCENTILE.INC(I36:I55,0)</f>
        <v>3400</v>
      </c>
      <c r="N56">
        <f>_xlfn.PERCENTILE.INC(I36:I55,1)</f>
        <v>14500</v>
      </c>
    </row>
    <row r="58" spans="1:14" x14ac:dyDescent="0.45">
      <c r="E58" s="26" t="s">
        <v>159</v>
      </c>
      <c r="F58" s="26"/>
      <c r="G58" s="26"/>
      <c r="H58" s="26"/>
      <c r="I58" s="26"/>
      <c r="J58" s="26"/>
      <c r="K58" s="26"/>
    </row>
    <row r="59" spans="1:14" x14ac:dyDescent="0.45">
      <c r="E59" s="26"/>
      <c r="F59" s="26"/>
      <c r="G59" s="26"/>
      <c r="H59" s="26"/>
      <c r="I59" s="26"/>
      <c r="J59" s="26"/>
      <c r="K59" s="26"/>
    </row>
    <row r="60" spans="1:14" x14ac:dyDescent="0.45">
      <c r="E60" s="26"/>
      <c r="F60" s="26"/>
      <c r="G60" s="26"/>
      <c r="H60" s="26"/>
      <c r="I60" s="26"/>
      <c r="J60" s="26"/>
      <c r="K60" s="26"/>
    </row>
    <row r="61" spans="1:14" x14ac:dyDescent="0.45">
      <c r="E61" s="26"/>
      <c r="F61" s="26"/>
      <c r="G61" s="26"/>
      <c r="H61" s="26"/>
      <c r="I61" s="26"/>
      <c r="J61" s="26"/>
      <c r="K61" s="26"/>
    </row>
    <row r="62" spans="1:14" x14ac:dyDescent="0.45">
      <c r="E62" s="26"/>
      <c r="F62" s="26"/>
      <c r="G62" s="26"/>
      <c r="H62" s="26"/>
      <c r="I62" s="26"/>
      <c r="J62" s="26"/>
      <c r="K62" s="26"/>
    </row>
    <row r="63" spans="1:14" x14ac:dyDescent="0.45">
      <c r="E63" s="26"/>
      <c r="F63" s="26"/>
      <c r="G63" s="26"/>
      <c r="H63" s="26"/>
      <c r="I63" s="26"/>
      <c r="J63" s="26"/>
      <c r="K63" s="26"/>
    </row>
    <row r="64" spans="1:14" x14ac:dyDescent="0.45">
      <c r="E64" s="26"/>
      <c r="F64" s="26"/>
      <c r="G64" s="26"/>
      <c r="H64" s="26"/>
      <c r="I64" s="26"/>
      <c r="J64" s="26"/>
      <c r="K64" s="26"/>
    </row>
    <row r="65" spans="5:11" x14ac:dyDescent="0.45">
      <c r="E65" s="26"/>
      <c r="F65" s="26"/>
      <c r="G65" s="26"/>
      <c r="H65" s="26"/>
      <c r="I65" s="26"/>
      <c r="J65" s="26"/>
      <c r="K65" s="26"/>
    </row>
    <row r="66" spans="5:11" x14ac:dyDescent="0.45">
      <c r="E66" s="26"/>
      <c r="F66" s="26"/>
      <c r="G66" s="26"/>
      <c r="H66" s="26"/>
      <c r="I66" s="26"/>
      <c r="J66" s="26"/>
      <c r="K66" s="26"/>
    </row>
    <row r="67" spans="5:11" x14ac:dyDescent="0.45">
      <c r="E67" s="26"/>
      <c r="F67" s="26"/>
      <c r="G67" s="26"/>
      <c r="H67" s="26"/>
      <c r="I67" s="26"/>
      <c r="J67" s="26"/>
      <c r="K67" s="26"/>
    </row>
    <row r="68" spans="5:11" x14ac:dyDescent="0.45">
      <c r="E68" s="26"/>
      <c r="F68" s="26"/>
      <c r="G68" s="26"/>
      <c r="H68" s="26"/>
      <c r="I68" s="26"/>
      <c r="J68" s="26"/>
      <c r="K68" s="26"/>
    </row>
    <row r="69" spans="5:11" x14ac:dyDescent="0.45">
      <c r="E69" s="26"/>
      <c r="F69" s="26"/>
      <c r="G69" s="26"/>
      <c r="H69" s="26"/>
      <c r="I69" s="26"/>
      <c r="J69" s="26"/>
      <c r="K69" s="26"/>
    </row>
  </sheetData>
  <mergeCells count="2">
    <mergeCell ref="E58:K69"/>
    <mergeCell ref="D23:H3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E140-8840-4529-9B00-932DBAD2714F}">
  <dimension ref="A1:M46"/>
  <sheetViews>
    <sheetView topLeftCell="A25" workbookViewId="0">
      <selection activeCell="C24" sqref="C24:H46"/>
    </sheetView>
  </sheetViews>
  <sheetFormatPr defaultRowHeight="17.5" x14ac:dyDescent="0.45"/>
  <cols>
    <col min="5" max="5" width="16.3828125" bestFit="1" customWidth="1"/>
    <col min="10" max="10" width="10.84375" bestFit="1" customWidth="1"/>
    <col min="13" max="13" width="12.15234375" customWidth="1"/>
  </cols>
  <sheetData>
    <row r="1" spans="1:13" x14ac:dyDescent="0.45">
      <c r="A1" s="7" t="s">
        <v>76</v>
      </c>
      <c r="B1" s="7" t="s">
        <v>0</v>
      </c>
      <c r="C1" s="7" t="s">
        <v>1</v>
      </c>
      <c r="D1" s="8" t="s">
        <v>4</v>
      </c>
      <c r="E1" s="9" t="s">
        <v>74</v>
      </c>
      <c r="F1" s="6" t="s">
        <v>2</v>
      </c>
      <c r="G1" s="6" t="s">
        <v>75</v>
      </c>
      <c r="H1" s="6" t="s">
        <v>3</v>
      </c>
      <c r="I1" s="10" t="s">
        <v>77</v>
      </c>
      <c r="J1" s="6" t="s">
        <v>148</v>
      </c>
      <c r="K1" s="6" t="s">
        <v>149</v>
      </c>
      <c r="L1" s="6" t="s">
        <v>150</v>
      </c>
      <c r="M1" s="6" t="s">
        <v>151</v>
      </c>
    </row>
    <row r="2" spans="1:13" x14ac:dyDescent="0.45">
      <c r="A2" s="7" t="s">
        <v>45</v>
      </c>
      <c r="B2" s="7" t="s">
        <v>46</v>
      </c>
      <c r="C2" s="7" t="s">
        <v>47</v>
      </c>
      <c r="D2" s="8">
        <v>44</v>
      </c>
      <c r="E2" s="9">
        <v>40073</v>
      </c>
      <c r="F2" s="6" t="s">
        <v>48</v>
      </c>
      <c r="G2" s="6" t="s">
        <v>26</v>
      </c>
      <c r="H2" s="6" t="s">
        <v>10</v>
      </c>
      <c r="I2" s="10">
        <v>11500</v>
      </c>
      <c r="J2" s="17">
        <f ca="1">TODAY()</f>
        <v>46041</v>
      </c>
      <c r="K2">
        <f ca="1">$J$2-E2</f>
        <v>5968</v>
      </c>
      <c r="L2">
        <f ca="1">YEAR($J$2)-YEAR(E2)</f>
        <v>17</v>
      </c>
      <c r="M2">
        <f ca="1">L2+1</f>
        <v>18</v>
      </c>
    </row>
    <row r="3" spans="1:13" x14ac:dyDescent="0.45">
      <c r="A3" s="7" t="s">
        <v>49</v>
      </c>
      <c r="B3" s="7" t="s">
        <v>50</v>
      </c>
      <c r="C3" s="7" t="s">
        <v>51</v>
      </c>
      <c r="D3" s="8">
        <v>38</v>
      </c>
      <c r="E3" s="9">
        <v>41430</v>
      </c>
      <c r="F3" s="6" t="s">
        <v>48</v>
      </c>
      <c r="G3" s="6" t="s">
        <v>21</v>
      </c>
      <c r="H3" s="6"/>
      <c r="I3" s="10">
        <v>6700</v>
      </c>
      <c r="J3">
        <f ca="1">WEEKDAY(K2,2)</f>
        <v>3</v>
      </c>
      <c r="K3">
        <f t="shared" ref="K3:K21" ca="1" si="0">$J$2-E3</f>
        <v>4611</v>
      </c>
      <c r="L3">
        <f t="shared" ref="L3:L21" ca="1" si="1">YEAR($J$2)-YEAR(E3)</f>
        <v>13</v>
      </c>
      <c r="M3">
        <f t="shared" ref="M3:M21" ca="1" si="2">L3+1</f>
        <v>14</v>
      </c>
    </row>
    <row r="4" spans="1:13" x14ac:dyDescent="0.45">
      <c r="A4" s="7" t="s">
        <v>55</v>
      </c>
      <c r="B4" s="7" t="s">
        <v>56</v>
      </c>
      <c r="C4" s="7" t="s">
        <v>57</v>
      </c>
      <c r="D4" s="8">
        <v>29</v>
      </c>
      <c r="E4" s="9">
        <v>44027</v>
      </c>
      <c r="F4" s="6" t="s">
        <v>48</v>
      </c>
      <c r="G4" s="6" t="s">
        <v>14</v>
      </c>
      <c r="H4" s="6"/>
      <c r="I4" s="10">
        <v>4900</v>
      </c>
      <c r="J4" t="str">
        <f>TEXT(E2, "aaa")</f>
        <v>목</v>
      </c>
      <c r="K4">
        <f t="shared" ca="1" si="0"/>
        <v>2014</v>
      </c>
      <c r="L4">
        <f t="shared" ca="1" si="1"/>
        <v>6</v>
      </c>
      <c r="M4">
        <f t="shared" ca="1" si="2"/>
        <v>7</v>
      </c>
    </row>
    <row r="5" spans="1:13" x14ac:dyDescent="0.45">
      <c r="A5" s="7" t="s">
        <v>52</v>
      </c>
      <c r="B5" s="7" t="s">
        <v>53</v>
      </c>
      <c r="C5" s="7" t="s">
        <v>54</v>
      </c>
      <c r="D5" s="8">
        <v>26</v>
      </c>
      <c r="E5" s="9">
        <v>44613</v>
      </c>
      <c r="F5" s="6" t="s">
        <v>48</v>
      </c>
      <c r="G5" s="6" t="s">
        <v>17</v>
      </c>
      <c r="H5" s="6"/>
      <c r="I5" s="10">
        <v>3400</v>
      </c>
      <c r="K5">
        <f t="shared" ca="1" si="0"/>
        <v>1428</v>
      </c>
      <c r="L5">
        <f t="shared" ca="1" si="1"/>
        <v>4</v>
      </c>
      <c r="M5">
        <f t="shared" ca="1" si="2"/>
        <v>5</v>
      </c>
    </row>
    <row r="6" spans="1:13" x14ac:dyDescent="0.45">
      <c r="A6" s="7" t="s">
        <v>5</v>
      </c>
      <c r="B6" s="7" t="s">
        <v>6</v>
      </c>
      <c r="C6" s="7" t="s">
        <v>7</v>
      </c>
      <c r="D6" s="8">
        <v>48</v>
      </c>
      <c r="E6" s="9">
        <v>38426</v>
      </c>
      <c r="F6" s="6" t="s">
        <v>8</v>
      </c>
      <c r="G6" s="6" t="s">
        <v>9</v>
      </c>
      <c r="H6" s="6" t="s">
        <v>10</v>
      </c>
      <c r="I6" s="10">
        <v>12000</v>
      </c>
      <c r="K6">
        <f t="shared" ca="1" si="0"/>
        <v>7615</v>
      </c>
      <c r="L6">
        <f t="shared" ca="1" si="1"/>
        <v>21</v>
      </c>
      <c r="M6">
        <f t="shared" ca="1" si="2"/>
        <v>22</v>
      </c>
    </row>
    <row r="7" spans="1:13" x14ac:dyDescent="0.45">
      <c r="A7" s="7" t="s">
        <v>18</v>
      </c>
      <c r="B7" s="7" t="s">
        <v>19</v>
      </c>
      <c r="C7" s="7" t="s">
        <v>20</v>
      </c>
      <c r="D7" s="8">
        <v>36</v>
      </c>
      <c r="E7" s="9">
        <v>41905</v>
      </c>
      <c r="F7" s="6" t="s">
        <v>8</v>
      </c>
      <c r="G7" s="6" t="s">
        <v>21</v>
      </c>
      <c r="H7" s="6"/>
      <c r="I7" s="10">
        <v>6000</v>
      </c>
      <c r="K7">
        <f t="shared" ca="1" si="0"/>
        <v>4136</v>
      </c>
      <c r="L7">
        <f t="shared" ca="1" si="1"/>
        <v>12</v>
      </c>
      <c r="M7">
        <f t="shared" ca="1" si="2"/>
        <v>13</v>
      </c>
    </row>
    <row r="8" spans="1:13" x14ac:dyDescent="0.45">
      <c r="A8" s="7" t="s">
        <v>11</v>
      </c>
      <c r="B8" s="7" t="s">
        <v>12</v>
      </c>
      <c r="C8" s="7" t="s">
        <v>13</v>
      </c>
      <c r="D8" s="8">
        <v>30</v>
      </c>
      <c r="E8" s="9">
        <v>43282</v>
      </c>
      <c r="F8" s="6" t="s">
        <v>8</v>
      </c>
      <c r="G8" s="6" t="s">
        <v>14</v>
      </c>
      <c r="H8" s="6"/>
      <c r="I8" s="10">
        <v>4800</v>
      </c>
      <c r="K8">
        <f t="shared" ca="1" si="0"/>
        <v>2759</v>
      </c>
      <c r="L8">
        <f t="shared" ca="1" si="1"/>
        <v>8</v>
      </c>
      <c r="M8">
        <f t="shared" ca="1" si="2"/>
        <v>9</v>
      </c>
    </row>
    <row r="9" spans="1:13" x14ac:dyDescent="0.45">
      <c r="A9" s="7" t="s">
        <v>82</v>
      </c>
      <c r="B9" s="7" t="s">
        <v>15</v>
      </c>
      <c r="C9" s="7" t="s">
        <v>16</v>
      </c>
      <c r="D9" s="8">
        <v>26</v>
      </c>
      <c r="E9" s="9">
        <v>44571</v>
      </c>
      <c r="F9" s="6" t="s">
        <v>8</v>
      </c>
      <c r="G9" s="6" t="s">
        <v>17</v>
      </c>
      <c r="H9" s="6"/>
      <c r="I9" s="10">
        <v>3600</v>
      </c>
      <c r="K9">
        <f t="shared" ca="1" si="0"/>
        <v>1470</v>
      </c>
      <c r="L9">
        <f t="shared" ca="1" si="1"/>
        <v>4</v>
      </c>
      <c r="M9">
        <f t="shared" ca="1" si="2"/>
        <v>5</v>
      </c>
    </row>
    <row r="10" spans="1:13" x14ac:dyDescent="0.45">
      <c r="A10" s="7" t="s">
        <v>22</v>
      </c>
      <c r="B10" s="7" t="s">
        <v>23</v>
      </c>
      <c r="C10" s="7" t="s">
        <v>24</v>
      </c>
      <c r="D10" s="8">
        <v>45</v>
      </c>
      <c r="E10" s="9">
        <v>39757</v>
      </c>
      <c r="F10" s="6" t="s">
        <v>25</v>
      </c>
      <c r="G10" s="6" t="s">
        <v>26</v>
      </c>
      <c r="H10" s="6" t="s">
        <v>10</v>
      </c>
      <c r="I10" s="10">
        <v>11000</v>
      </c>
      <c r="K10">
        <f t="shared" ca="1" si="0"/>
        <v>6284</v>
      </c>
      <c r="L10">
        <f t="shared" ca="1" si="1"/>
        <v>18</v>
      </c>
      <c r="M10">
        <f t="shared" ca="1" si="2"/>
        <v>19</v>
      </c>
    </row>
    <row r="11" spans="1:13" x14ac:dyDescent="0.45">
      <c r="A11" s="7" t="s">
        <v>71</v>
      </c>
      <c r="B11" s="7" t="s">
        <v>72</v>
      </c>
      <c r="C11" s="7" t="s">
        <v>73</v>
      </c>
      <c r="D11" s="8">
        <v>34</v>
      </c>
      <c r="E11" s="9">
        <v>42606</v>
      </c>
      <c r="F11" s="6" t="s">
        <v>25</v>
      </c>
      <c r="G11" s="6" t="s">
        <v>21</v>
      </c>
      <c r="H11" s="6"/>
      <c r="I11" s="10">
        <v>6900</v>
      </c>
      <c r="K11">
        <f t="shared" ca="1" si="0"/>
        <v>3435</v>
      </c>
      <c r="L11">
        <f t="shared" ca="1" si="1"/>
        <v>10</v>
      </c>
      <c r="M11">
        <f t="shared" ca="1" si="2"/>
        <v>11</v>
      </c>
    </row>
    <row r="12" spans="1:13" x14ac:dyDescent="0.45">
      <c r="A12" s="7" t="s">
        <v>27</v>
      </c>
      <c r="B12" s="7" t="s">
        <v>28</v>
      </c>
      <c r="C12" s="7" t="s">
        <v>29</v>
      </c>
      <c r="D12" s="8">
        <v>31</v>
      </c>
      <c r="E12" s="9">
        <v>43542</v>
      </c>
      <c r="F12" s="6" t="s">
        <v>25</v>
      </c>
      <c r="G12" s="6" t="s">
        <v>14</v>
      </c>
      <c r="H12" s="6"/>
      <c r="I12" s="10">
        <v>5100</v>
      </c>
      <c r="K12">
        <f t="shared" ca="1" si="0"/>
        <v>2499</v>
      </c>
      <c r="L12">
        <f t="shared" ca="1" si="1"/>
        <v>7</v>
      </c>
      <c r="M12">
        <f t="shared" ca="1" si="2"/>
        <v>8</v>
      </c>
    </row>
    <row r="13" spans="1:13" x14ac:dyDescent="0.45">
      <c r="A13" s="7" t="s">
        <v>30</v>
      </c>
      <c r="B13" s="7" t="s">
        <v>92</v>
      </c>
      <c r="C13" s="7" t="s">
        <v>31</v>
      </c>
      <c r="D13" s="8">
        <v>27</v>
      </c>
      <c r="E13" s="9">
        <v>44410</v>
      </c>
      <c r="F13" s="6" t="s">
        <v>25</v>
      </c>
      <c r="G13" s="6" t="s">
        <v>17</v>
      </c>
      <c r="H13" s="6"/>
      <c r="I13" s="10">
        <v>3400</v>
      </c>
      <c r="K13">
        <f t="shared" ca="1" si="0"/>
        <v>1631</v>
      </c>
      <c r="L13">
        <f t="shared" ca="1" si="1"/>
        <v>5</v>
      </c>
      <c r="M13">
        <f t="shared" ca="1" si="2"/>
        <v>6</v>
      </c>
    </row>
    <row r="14" spans="1:13" x14ac:dyDescent="0.45">
      <c r="A14" s="7" t="s">
        <v>58</v>
      </c>
      <c r="B14" s="7" t="s">
        <v>59</v>
      </c>
      <c r="C14" s="7" t="s">
        <v>60</v>
      </c>
      <c r="D14" s="8">
        <v>49</v>
      </c>
      <c r="E14" s="9">
        <v>37679</v>
      </c>
      <c r="F14" s="6" t="s">
        <v>61</v>
      </c>
      <c r="G14" s="6" t="s">
        <v>9</v>
      </c>
      <c r="H14" s="6" t="s">
        <v>10</v>
      </c>
      <c r="I14" s="10">
        <v>14500</v>
      </c>
      <c r="K14">
        <f t="shared" ca="1" si="0"/>
        <v>8362</v>
      </c>
      <c r="L14">
        <f t="shared" ca="1" si="1"/>
        <v>23</v>
      </c>
      <c r="M14">
        <f t="shared" ca="1" si="2"/>
        <v>24</v>
      </c>
    </row>
    <row r="15" spans="1:13" x14ac:dyDescent="0.45">
      <c r="A15" s="7" t="s">
        <v>62</v>
      </c>
      <c r="B15" s="7" t="s">
        <v>63</v>
      </c>
      <c r="C15" s="7" t="s">
        <v>64</v>
      </c>
      <c r="D15" s="8">
        <v>37</v>
      </c>
      <c r="E15" s="9">
        <v>41242</v>
      </c>
      <c r="F15" s="6" t="s">
        <v>61</v>
      </c>
      <c r="G15" s="6" t="s">
        <v>21</v>
      </c>
      <c r="H15" s="6"/>
      <c r="I15" s="10">
        <v>7500</v>
      </c>
      <c r="K15">
        <f t="shared" ca="1" si="0"/>
        <v>4799</v>
      </c>
      <c r="L15">
        <f t="shared" ca="1" si="1"/>
        <v>14</v>
      </c>
      <c r="M15">
        <f t="shared" ca="1" si="2"/>
        <v>15</v>
      </c>
    </row>
    <row r="16" spans="1:13" x14ac:dyDescent="0.45">
      <c r="A16" s="7" t="s">
        <v>65</v>
      </c>
      <c r="B16" s="7" t="s">
        <v>66</v>
      </c>
      <c r="C16" s="7" t="s">
        <v>67</v>
      </c>
      <c r="D16" s="8">
        <v>30</v>
      </c>
      <c r="E16" s="9">
        <v>43385</v>
      </c>
      <c r="F16" s="6" t="s">
        <v>61</v>
      </c>
      <c r="G16" s="6" t="s">
        <v>14</v>
      </c>
      <c r="H16" s="6"/>
      <c r="I16" s="10">
        <v>5800</v>
      </c>
      <c r="K16">
        <f t="shared" ca="1" si="0"/>
        <v>2656</v>
      </c>
      <c r="L16">
        <f t="shared" ca="1" si="1"/>
        <v>8</v>
      </c>
      <c r="M16">
        <f t="shared" ca="1" si="2"/>
        <v>9</v>
      </c>
    </row>
    <row r="17" spans="1:13" x14ac:dyDescent="0.45">
      <c r="A17" s="7" t="s">
        <v>68</v>
      </c>
      <c r="B17" s="7" t="s">
        <v>69</v>
      </c>
      <c r="C17" s="7" t="s">
        <v>70</v>
      </c>
      <c r="D17" s="8">
        <v>27</v>
      </c>
      <c r="E17" s="9">
        <v>44719</v>
      </c>
      <c r="F17" s="6" t="s">
        <v>61</v>
      </c>
      <c r="G17" s="6" t="s">
        <v>17</v>
      </c>
      <c r="H17" s="6"/>
      <c r="I17" s="10">
        <v>4300</v>
      </c>
      <c r="K17">
        <f t="shared" ca="1" si="0"/>
        <v>1322</v>
      </c>
      <c r="L17">
        <f t="shared" ca="1" si="1"/>
        <v>4</v>
      </c>
      <c r="M17">
        <f t="shared" ca="1" si="2"/>
        <v>5</v>
      </c>
    </row>
    <row r="18" spans="1:13" x14ac:dyDescent="0.45">
      <c r="A18" s="7" t="s">
        <v>32</v>
      </c>
      <c r="B18" s="7" t="s">
        <v>33</v>
      </c>
      <c r="C18" s="7" t="s">
        <v>34</v>
      </c>
      <c r="D18" s="8">
        <v>47</v>
      </c>
      <c r="E18" s="9">
        <v>38127</v>
      </c>
      <c r="F18" s="6" t="s">
        <v>35</v>
      </c>
      <c r="G18" s="6" t="s">
        <v>9</v>
      </c>
      <c r="H18" s="6" t="s">
        <v>10</v>
      </c>
      <c r="I18" s="10">
        <v>14000</v>
      </c>
      <c r="K18">
        <f t="shared" ca="1" si="0"/>
        <v>7914</v>
      </c>
      <c r="L18">
        <f t="shared" ca="1" si="1"/>
        <v>22</v>
      </c>
      <c r="M18">
        <f t="shared" ca="1" si="2"/>
        <v>23</v>
      </c>
    </row>
    <row r="19" spans="1:13" x14ac:dyDescent="0.45">
      <c r="A19" s="7" t="s">
        <v>36</v>
      </c>
      <c r="B19" s="7" t="s">
        <v>37</v>
      </c>
      <c r="C19" s="7" t="s">
        <v>38</v>
      </c>
      <c r="D19" s="8">
        <v>35</v>
      </c>
      <c r="E19" s="9">
        <v>42352</v>
      </c>
      <c r="F19" s="6" t="s">
        <v>35</v>
      </c>
      <c r="G19" s="6" t="s">
        <v>21</v>
      </c>
      <c r="H19" s="6"/>
      <c r="I19" s="10">
        <v>7300</v>
      </c>
      <c r="K19">
        <f t="shared" ca="1" si="0"/>
        <v>3689</v>
      </c>
      <c r="L19">
        <f t="shared" ca="1" si="1"/>
        <v>11</v>
      </c>
      <c r="M19">
        <f t="shared" ca="1" si="2"/>
        <v>12</v>
      </c>
    </row>
    <row r="20" spans="1:13" x14ac:dyDescent="0.45">
      <c r="A20" s="7" t="s">
        <v>39</v>
      </c>
      <c r="B20" s="7" t="s">
        <v>40</v>
      </c>
      <c r="C20" s="7" t="s">
        <v>41</v>
      </c>
      <c r="D20" s="8">
        <v>32</v>
      </c>
      <c r="E20" s="9">
        <v>43220</v>
      </c>
      <c r="F20" s="6" t="s">
        <v>35</v>
      </c>
      <c r="G20" s="6" t="s">
        <v>14</v>
      </c>
      <c r="H20" s="6"/>
      <c r="I20" s="10">
        <v>6000</v>
      </c>
      <c r="K20">
        <f t="shared" ca="1" si="0"/>
        <v>2821</v>
      </c>
      <c r="L20">
        <f t="shared" ca="1" si="1"/>
        <v>8</v>
      </c>
      <c r="M20">
        <f t="shared" ca="1" si="2"/>
        <v>9</v>
      </c>
    </row>
    <row r="21" spans="1:13" x14ac:dyDescent="0.45">
      <c r="A21" s="7" t="s">
        <v>42</v>
      </c>
      <c r="B21" s="7" t="s">
        <v>43</v>
      </c>
      <c r="C21" s="7" t="s">
        <v>44</v>
      </c>
      <c r="D21" s="8">
        <v>28</v>
      </c>
      <c r="E21" s="9">
        <v>44326</v>
      </c>
      <c r="F21" s="6" t="s">
        <v>35</v>
      </c>
      <c r="G21" s="6" t="s">
        <v>17</v>
      </c>
      <c r="H21" s="6"/>
      <c r="I21" s="10">
        <v>4500</v>
      </c>
      <c r="K21">
        <f t="shared" ca="1" si="0"/>
        <v>1715</v>
      </c>
      <c r="L21">
        <f t="shared" ca="1" si="1"/>
        <v>5</v>
      </c>
      <c r="M21">
        <f t="shared" ca="1" si="2"/>
        <v>6</v>
      </c>
    </row>
    <row r="24" spans="1:13" x14ac:dyDescent="0.45">
      <c r="C24" s="26" t="s">
        <v>152</v>
      </c>
      <c r="D24" s="26"/>
      <c r="E24" s="26"/>
      <c r="F24" s="26"/>
      <c r="G24" s="26"/>
      <c r="H24" s="26"/>
    </row>
    <row r="25" spans="1:13" x14ac:dyDescent="0.45">
      <c r="C25" s="26"/>
      <c r="D25" s="26"/>
      <c r="E25" s="26"/>
      <c r="F25" s="26"/>
      <c r="G25" s="26"/>
      <c r="H25" s="26"/>
    </row>
    <row r="26" spans="1:13" x14ac:dyDescent="0.45">
      <c r="C26" s="26"/>
      <c r="D26" s="26"/>
      <c r="E26" s="26"/>
      <c r="F26" s="26"/>
      <c r="G26" s="26"/>
      <c r="H26" s="26"/>
    </row>
    <row r="27" spans="1:13" x14ac:dyDescent="0.45">
      <c r="C27" s="26"/>
      <c r="D27" s="26"/>
      <c r="E27" s="26"/>
      <c r="F27" s="26"/>
      <c r="G27" s="26"/>
      <c r="H27" s="26"/>
    </row>
    <row r="28" spans="1:13" x14ac:dyDescent="0.45">
      <c r="C28" s="26"/>
      <c r="D28" s="26"/>
      <c r="E28" s="26"/>
      <c r="F28" s="26"/>
      <c r="G28" s="26"/>
      <c r="H28" s="26"/>
    </row>
    <row r="29" spans="1:13" x14ac:dyDescent="0.45">
      <c r="C29" s="26"/>
      <c r="D29" s="26"/>
      <c r="E29" s="26"/>
      <c r="F29" s="26"/>
      <c r="G29" s="26"/>
      <c r="H29" s="26"/>
    </row>
    <row r="30" spans="1:13" x14ac:dyDescent="0.45">
      <c r="C30" s="26"/>
      <c r="D30" s="26"/>
      <c r="E30" s="26"/>
      <c r="F30" s="26"/>
      <c r="G30" s="26"/>
      <c r="H30" s="26"/>
    </row>
    <row r="31" spans="1:13" x14ac:dyDescent="0.45">
      <c r="C31" s="26"/>
      <c r="D31" s="26"/>
      <c r="E31" s="26"/>
      <c r="F31" s="26"/>
      <c r="G31" s="26"/>
      <c r="H31" s="26"/>
    </row>
    <row r="32" spans="1:13" x14ac:dyDescent="0.45">
      <c r="C32" s="26"/>
      <c r="D32" s="26"/>
      <c r="E32" s="26"/>
      <c r="F32" s="26"/>
      <c r="G32" s="26"/>
      <c r="H32" s="26"/>
    </row>
    <row r="33" spans="3:8" x14ac:dyDescent="0.45">
      <c r="C33" s="26"/>
      <c r="D33" s="26"/>
      <c r="E33" s="26"/>
      <c r="F33" s="26"/>
      <c r="G33" s="26"/>
      <c r="H33" s="26"/>
    </row>
    <row r="34" spans="3:8" x14ac:dyDescent="0.45">
      <c r="C34" s="26"/>
      <c r="D34" s="26"/>
      <c r="E34" s="26"/>
      <c r="F34" s="26"/>
      <c r="G34" s="26"/>
      <c r="H34" s="26"/>
    </row>
    <row r="35" spans="3:8" x14ac:dyDescent="0.45">
      <c r="C35" s="26"/>
      <c r="D35" s="26"/>
      <c r="E35" s="26"/>
      <c r="F35" s="26"/>
      <c r="G35" s="26"/>
      <c r="H35" s="26"/>
    </row>
    <row r="36" spans="3:8" x14ac:dyDescent="0.45">
      <c r="C36" s="26"/>
      <c r="D36" s="26"/>
      <c r="E36" s="26"/>
      <c r="F36" s="26"/>
      <c r="G36" s="26"/>
      <c r="H36" s="26"/>
    </row>
    <row r="37" spans="3:8" x14ac:dyDescent="0.45">
      <c r="C37" s="26"/>
      <c r="D37" s="26"/>
      <c r="E37" s="26"/>
      <c r="F37" s="26"/>
      <c r="G37" s="26"/>
      <c r="H37" s="26"/>
    </row>
    <row r="38" spans="3:8" x14ac:dyDescent="0.45">
      <c r="C38" s="26"/>
      <c r="D38" s="26"/>
      <c r="E38" s="26"/>
      <c r="F38" s="26"/>
      <c r="G38" s="26"/>
      <c r="H38" s="26"/>
    </row>
    <row r="39" spans="3:8" x14ac:dyDescent="0.45">
      <c r="C39" s="26"/>
      <c r="D39" s="26"/>
      <c r="E39" s="26"/>
      <c r="F39" s="26"/>
      <c r="G39" s="26"/>
      <c r="H39" s="26"/>
    </row>
    <row r="40" spans="3:8" x14ac:dyDescent="0.45">
      <c r="C40" s="26"/>
      <c r="D40" s="26"/>
      <c r="E40" s="26"/>
      <c r="F40" s="26"/>
      <c r="G40" s="26"/>
      <c r="H40" s="26"/>
    </row>
    <row r="41" spans="3:8" x14ac:dyDescent="0.45">
      <c r="C41" s="26"/>
      <c r="D41" s="26"/>
      <c r="E41" s="26"/>
      <c r="F41" s="26"/>
      <c r="G41" s="26"/>
      <c r="H41" s="26"/>
    </row>
    <row r="42" spans="3:8" x14ac:dyDescent="0.45">
      <c r="C42" s="26"/>
      <c r="D42" s="26"/>
      <c r="E42" s="26"/>
      <c r="F42" s="26"/>
      <c r="G42" s="26"/>
      <c r="H42" s="26"/>
    </row>
    <row r="43" spans="3:8" x14ac:dyDescent="0.45">
      <c r="C43" s="26"/>
      <c r="D43" s="26"/>
      <c r="E43" s="26"/>
      <c r="F43" s="26"/>
      <c r="G43" s="26"/>
      <c r="H43" s="26"/>
    </row>
    <row r="44" spans="3:8" x14ac:dyDescent="0.45">
      <c r="C44" s="26"/>
      <c r="D44" s="26"/>
      <c r="E44" s="26"/>
      <c r="F44" s="26"/>
      <c r="G44" s="26"/>
      <c r="H44" s="26"/>
    </row>
    <row r="45" spans="3:8" x14ac:dyDescent="0.45">
      <c r="C45" s="26"/>
      <c r="D45" s="26"/>
      <c r="E45" s="26"/>
      <c r="F45" s="26"/>
      <c r="G45" s="26"/>
      <c r="H45" s="26"/>
    </row>
    <row r="46" spans="3:8" x14ac:dyDescent="0.45">
      <c r="C46" s="26"/>
      <c r="D46" s="26"/>
      <c r="E46" s="26"/>
      <c r="F46" s="26"/>
      <c r="G46" s="26"/>
      <c r="H46" s="26"/>
    </row>
  </sheetData>
  <mergeCells count="1">
    <mergeCell ref="C24:H4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B567-9F5F-4365-9713-294822E24A31}">
  <dimension ref="A1:N41"/>
  <sheetViews>
    <sheetView tabSelected="1" topLeftCell="A21" zoomScale="99" workbookViewId="0">
      <selection activeCell="N6" sqref="N6"/>
    </sheetView>
  </sheetViews>
  <sheetFormatPr defaultRowHeight="17.5" x14ac:dyDescent="0.45"/>
  <cols>
    <col min="2" max="2" width="31" bestFit="1" customWidth="1"/>
    <col min="3" max="3" width="14" bestFit="1" customWidth="1"/>
    <col min="5" max="5" width="16.3828125" bestFit="1" customWidth="1"/>
    <col min="11" max="11" width="11.15234375" bestFit="1" customWidth="1"/>
    <col min="14" max="14" width="9.53515625" bestFit="1" customWidth="1"/>
  </cols>
  <sheetData>
    <row r="1" spans="1:14" x14ac:dyDescent="0.45">
      <c r="A1" s="7" t="s">
        <v>76</v>
      </c>
      <c r="B1" s="7" t="s">
        <v>0</v>
      </c>
      <c r="C1" s="7" t="s">
        <v>1</v>
      </c>
      <c r="D1" s="8" t="s">
        <v>4</v>
      </c>
      <c r="E1" s="9" t="s">
        <v>74</v>
      </c>
      <c r="F1" s="6" t="s">
        <v>2</v>
      </c>
      <c r="G1" s="6" t="s">
        <v>75</v>
      </c>
      <c r="H1" s="6" t="s">
        <v>3</v>
      </c>
      <c r="I1" s="10" t="s">
        <v>77</v>
      </c>
      <c r="J1" s="6" t="s">
        <v>153</v>
      </c>
      <c r="K1" s="6" t="s">
        <v>154</v>
      </c>
      <c r="L1" s="6" t="s">
        <v>155</v>
      </c>
      <c r="M1" s="18" t="s">
        <v>156</v>
      </c>
    </row>
    <row r="2" spans="1:14" x14ac:dyDescent="0.45">
      <c r="A2" s="7" t="s">
        <v>45</v>
      </c>
      <c r="B2" s="7" t="s">
        <v>46</v>
      </c>
      <c r="C2" s="7" t="s">
        <v>47</v>
      </c>
      <c r="D2" s="8">
        <v>44</v>
      </c>
      <c r="E2" s="9">
        <v>40073</v>
      </c>
      <c r="F2" s="6" t="s">
        <v>48</v>
      </c>
      <c r="G2" s="6" t="s">
        <v>26</v>
      </c>
      <c r="H2" s="6" t="s">
        <v>10</v>
      </c>
      <c r="I2" s="10">
        <v>11500</v>
      </c>
      <c r="J2" t="str">
        <f>IF(I2&gt;=AVERAGE(I2:I21),"평균 이상", "평균 미만")</f>
        <v>평균 이상</v>
      </c>
      <c r="K2" t="str">
        <f>IF(H2="팀장",A2&amp;" "&amp;H2,A2&amp;" "&amp;G2)</f>
        <v>한지민 팀장</v>
      </c>
      <c r="L2" t="str">
        <f ca="1">IF(OR((TODAY()- E2)/365&lt;=3, G2="사원"),"주니어","시니어")</f>
        <v>시니어</v>
      </c>
      <c r="M2" t="str" cm="1">
        <f t="array" ref="M2">_xlfn.IFS(D2&gt;=40,"40대", D2&gt;=30, "30대", TRUE,"20대")</f>
        <v>40대</v>
      </c>
      <c r="N2">
        <f>COUNTIF(G2:G21, "차장")</f>
        <v>2</v>
      </c>
    </row>
    <row r="3" spans="1:14" x14ac:dyDescent="0.45">
      <c r="A3" s="7" t="s">
        <v>49</v>
      </c>
      <c r="B3" s="7" t="s">
        <v>50</v>
      </c>
      <c r="C3" s="7" t="s">
        <v>51</v>
      </c>
      <c r="D3" s="8">
        <v>38</v>
      </c>
      <c r="E3" s="9">
        <v>41430</v>
      </c>
      <c r="F3" s="6" t="s">
        <v>48</v>
      </c>
      <c r="G3" s="6" t="s">
        <v>21</v>
      </c>
      <c r="H3" s="6"/>
      <c r="I3" s="10">
        <v>6700</v>
      </c>
      <c r="J3" t="str">
        <f t="shared" ref="J3:J21" si="0">IF(I3&gt;=AVERAGE(I3:I22),"평균 이상", "평균 미만")</f>
        <v>평균 미만</v>
      </c>
      <c r="K3" t="str">
        <f t="shared" ref="K3:K21" si="1">IF(H3="팀장",A3&amp;" "&amp;H3,A3&amp;" "&amp;G3)</f>
        <v>박혜진 과장</v>
      </c>
      <c r="L3" t="str">
        <f t="shared" ref="L3:L21" ca="1" si="2">IF(OR((TODAY()- E3)/365&lt;=3, G3="사원"),"주니어","시니어")</f>
        <v>시니어</v>
      </c>
      <c r="M3" t="str" cm="1">
        <f t="array" ref="M3">_xlfn.IFS(D3&gt;=40,"40대", D3&gt;=30, "30대", TRUE,"20대")</f>
        <v>30대</v>
      </c>
      <c r="N3">
        <f>COUNTIF(I2:I21,"&gt;="&amp;AVERAGE(I2:I21))</f>
        <v>7</v>
      </c>
    </row>
    <row r="4" spans="1:14" x14ac:dyDescent="0.45">
      <c r="A4" s="7" t="s">
        <v>55</v>
      </c>
      <c r="B4" s="7" t="s">
        <v>56</v>
      </c>
      <c r="C4" s="7" t="s">
        <v>57</v>
      </c>
      <c r="D4" s="8">
        <v>29</v>
      </c>
      <c r="E4" s="9">
        <v>44027</v>
      </c>
      <c r="F4" s="6" t="s">
        <v>48</v>
      </c>
      <c r="G4" s="6" t="s">
        <v>14</v>
      </c>
      <c r="H4" s="6"/>
      <c r="I4" s="10">
        <v>4900</v>
      </c>
      <c r="J4" t="str">
        <f t="shared" si="0"/>
        <v>평균 미만</v>
      </c>
      <c r="K4" t="str">
        <f t="shared" si="1"/>
        <v>최유정 대리</v>
      </c>
      <c r="L4" t="str">
        <f t="shared" ca="1" si="2"/>
        <v>시니어</v>
      </c>
      <c r="M4" t="str" cm="1">
        <f t="array" ref="M4">_xlfn.IFS(D4&gt;=40,"40대", D4&gt;=30, "30대", TRUE,"20대")</f>
        <v>20대</v>
      </c>
      <c r="N4" s="14">
        <f>AVERAGEIF(G2:G21,"과장",I2:I21)</f>
        <v>6880</v>
      </c>
    </row>
    <row r="5" spans="1:14" x14ac:dyDescent="0.45">
      <c r="A5" s="7" t="s">
        <v>52</v>
      </c>
      <c r="B5" s="7" t="s">
        <v>53</v>
      </c>
      <c r="C5" s="7" t="s">
        <v>54</v>
      </c>
      <c r="D5" s="8">
        <v>26</v>
      </c>
      <c r="E5" s="9">
        <v>44613</v>
      </c>
      <c r="F5" s="6" t="s">
        <v>48</v>
      </c>
      <c r="G5" s="6" t="s">
        <v>17</v>
      </c>
      <c r="H5" s="6"/>
      <c r="I5" s="10">
        <v>3400</v>
      </c>
      <c r="J5" t="str">
        <f t="shared" si="0"/>
        <v>평균 미만</v>
      </c>
      <c r="K5" t="str">
        <f t="shared" si="1"/>
        <v>임동현 사원</v>
      </c>
      <c r="L5" t="str">
        <f t="shared" ca="1" si="2"/>
        <v>주니어</v>
      </c>
      <c r="M5" t="str" cm="1">
        <f t="array" ref="M5">_xlfn.IFS(D5&gt;=40,"40대", D5&gt;=30, "30대", TRUE,"20대")</f>
        <v>20대</v>
      </c>
      <c r="N5" s="14">
        <f>AVERAGEIFS(I2:I21,G2:G21,"대리",D2:D21,"&lt;=30")</f>
        <v>5166.666666666667</v>
      </c>
    </row>
    <row r="6" spans="1:14" x14ac:dyDescent="0.45">
      <c r="A6" s="7" t="s">
        <v>5</v>
      </c>
      <c r="B6" s="7" t="s">
        <v>6</v>
      </c>
      <c r="C6" s="7" t="s">
        <v>7</v>
      </c>
      <c r="D6" s="8">
        <v>48</v>
      </c>
      <c r="E6" s="9">
        <v>38426</v>
      </c>
      <c r="F6" s="6" t="s">
        <v>8</v>
      </c>
      <c r="G6" s="6" t="s">
        <v>9</v>
      </c>
      <c r="H6" s="6" t="s">
        <v>10</v>
      </c>
      <c r="I6" s="10">
        <v>12000</v>
      </c>
      <c r="J6" t="str">
        <f t="shared" si="0"/>
        <v>평균 이상</v>
      </c>
      <c r="K6" t="str">
        <f t="shared" si="1"/>
        <v>김지훈 팀장</v>
      </c>
      <c r="L6" t="str">
        <f t="shared" ca="1" si="2"/>
        <v>시니어</v>
      </c>
      <c r="M6" t="str" cm="1">
        <f t="array" ref="M6">_xlfn.IFS(D6&gt;=40,"40대", D6&gt;=30, "30대", TRUE,"20대")</f>
        <v>40대</v>
      </c>
      <c r="N6" s="14">
        <f>SUMIF(F2:F21,"마케팅팀",I2:I21)</f>
        <v>26500</v>
      </c>
    </row>
    <row r="7" spans="1:14" x14ac:dyDescent="0.45">
      <c r="A7" s="7" t="s">
        <v>18</v>
      </c>
      <c r="B7" s="7" t="s">
        <v>19</v>
      </c>
      <c r="C7" s="7" t="s">
        <v>20</v>
      </c>
      <c r="D7" s="8">
        <v>36</v>
      </c>
      <c r="E7" s="9">
        <v>41905</v>
      </c>
      <c r="F7" s="6" t="s">
        <v>8</v>
      </c>
      <c r="G7" s="6" t="s">
        <v>21</v>
      </c>
      <c r="H7" s="6"/>
      <c r="I7" s="10">
        <v>6000</v>
      </c>
      <c r="J7" t="str">
        <f t="shared" si="0"/>
        <v>평균 미만</v>
      </c>
      <c r="K7" t="str">
        <f t="shared" si="1"/>
        <v>한예린 과장</v>
      </c>
      <c r="L7" t="str">
        <f t="shared" ca="1" si="2"/>
        <v>시니어</v>
      </c>
      <c r="M7" t="str" cm="1">
        <f t="array" ref="M7">_xlfn.IFS(D7&gt;=40,"40대", D7&gt;=30, "30대", TRUE,"20대")</f>
        <v>30대</v>
      </c>
      <c r="N7" s="19">
        <f>SUMIFS(I2:I21,F2:F21,"마케팅팀",H2:H21,"&lt;&gt;팀장")</f>
        <v>15000</v>
      </c>
    </row>
    <row r="8" spans="1:14" x14ac:dyDescent="0.45">
      <c r="A8" s="7" t="s">
        <v>11</v>
      </c>
      <c r="B8" s="7" t="s">
        <v>12</v>
      </c>
      <c r="C8" s="7" t="s">
        <v>13</v>
      </c>
      <c r="D8" s="8">
        <v>30</v>
      </c>
      <c r="E8" s="9">
        <v>43282</v>
      </c>
      <c r="F8" s="6" t="s">
        <v>8</v>
      </c>
      <c r="G8" s="6" t="s">
        <v>14</v>
      </c>
      <c r="H8" s="6"/>
      <c r="I8" s="10">
        <v>4800</v>
      </c>
      <c r="J8" t="str">
        <f t="shared" si="0"/>
        <v>평균 미만</v>
      </c>
      <c r="K8" t="str">
        <f t="shared" si="1"/>
        <v>이민서 대리</v>
      </c>
      <c r="L8" t="str">
        <f t="shared" ca="1" si="2"/>
        <v>시니어</v>
      </c>
      <c r="M8" t="str" cm="1">
        <f t="array" ref="M8">_xlfn.IFS(D8&gt;=40,"40대", D8&gt;=30, "30대", TRUE,"20대")</f>
        <v>30대</v>
      </c>
    </row>
    <row r="9" spans="1:14" x14ac:dyDescent="0.45">
      <c r="A9" s="7" t="s">
        <v>82</v>
      </c>
      <c r="B9" s="7" t="s">
        <v>15</v>
      </c>
      <c r="C9" s="7" t="s">
        <v>16</v>
      </c>
      <c r="D9" s="8">
        <v>26</v>
      </c>
      <c r="E9" s="9">
        <v>44571</v>
      </c>
      <c r="F9" s="6" t="s">
        <v>8</v>
      </c>
      <c r="G9" s="6" t="s">
        <v>17</v>
      </c>
      <c r="H9" s="6"/>
      <c r="I9" s="10">
        <v>3600</v>
      </c>
      <c r="J9" t="str">
        <f t="shared" si="0"/>
        <v>평균 미만</v>
      </c>
      <c r="K9" t="str">
        <f t="shared" si="1"/>
        <v>박준호 사원</v>
      </c>
      <c r="L9" t="str">
        <f t="shared" ca="1" si="2"/>
        <v>주니어</v>
      </c>
      <c r="M9" t="str" cm="1">
        <f t="array" ref="M9">_xlfn.IFS(D9&gt;=40,"40대", D9&gt;=30, "30대", TRUE,"20대")</f>
        <v>20대</v>
      </c>
    </row>
    <row r="10" spans="1:14" x14ac:dyDescent="0.45">
      <c r="A10" s="7" t="s">
        <v>22</v>
      </c>
      <c r="B10" s="7" t="s">
        <v>23</v>
      </c>
      <c r="C10" s="7" t="s">
        <v>24</v>
      </c>
      <c r="D10" s="8">
        <v>45</v>
      </c>
      <c r="E10" s="9">
        <v>39757</v>
      </c>
      <c r="F10" s="6" t="s">
        <v>25</v>
      </c>
      <c r="G10" s="6" t="s">
        <v>26</v>
      </c>
      <c r="H10" s="6" t="s">
        <v>10</v>
      </c>
      <c r="I10" s="10">
        <v>11000</v>
      </c>
      <c r="J10" t="str">
        <f t="shared" si="0"/>
        <v>평균 이상</v>
      </c>
      <c r="K10" t="str">
        <f t="shared" si="1"/>
        <v>최승현 팀장</v>
      </c>
      <c r="L10" t="str">
        <f t="shared" ca="1" si="2"/>
        <v>시니어</v>
      </c>
      <c r="M10" t="str" cm="1">
        <f t="array" ref="M10">_xlfn.IFS(D10&gt;=40,"40대", D10&gt;=30, "30대", TRUE,"20대")</f>
        <v>40대</v>
      </c>
    </row>
    <row r="11" spans="1:14" x14ac:dyDescent="0.45">
      <c r="A11" s="7" t="s">
        <v>71</v>
      </c>
      <c r="B11" s="7" t="s">
        <v>72</v>
      </c>
      <c r="C11" s="7" t="s">
        <v>73</v>
      </c>
      <c r="D11" s="8">
        <v>34</v>
      </c>
      <c r="E11" s="9">
        <v>42606</v>
      </c>
      <c r="F11" s="6" t="s">
        <v>25</v>
      </c>
      <c r="G11" s="6" t="s">
        <v>21</v>
      </c>
      <c r="H11" s="6"/>
      <c r="I11" s="10">
        <v>6900</v>
      </c>
      <c r="J11" t="str">
        <f t="shared" si="0"/>
        <v>평균 미만</v>
      </c>
      <c r="K11" t="str">
        <f t="shared" si="1"/>
        <v>한상우 과장</v>
      </c>
      <c r="L11" t="str">
        <f t="shared" ca="1" si="2"/>
        <v>시니어</v>
      </c>
      <c r="M11" t="str" cm="1">
        <f t="array" ref="M11">_xlfn.IFS(D11&gt;=40,"40대", D11&gt;=30, "30대", TRUE,"20대")</f>
        <v>30대</v>
      </c>
    </row>
    <row r="12" spans="1:14" x14ac:dyDescent="0.45">
      <c r="A12" s="7" t="s">
        <v>27</v>
      </c>
      <c r="B12" s="7" t="s">
        <v>28</v>
      </c>
      <c r="C12" s="7" t="s">
        <v>29</v>
      </c>
      <c r="D12" s="8">
        <v>31</v>
      </c>
      <c r="E12" s="9">
        <v>43542</v>
      </c>
      <c r="F12" s="6" t="s">
        <v>25</v>
      </c>
      <c r="G12" s="6" t="s">
        <v>14</v>
      </c>
      <c r="H12" s="6"/>
      <c r="I12" s="10">
        <v>5100</v>
      </c>
      <c r="J12" t="str">
        <f t="shared" si="0"/>
        <v>평균 미만</v>
      </c>
      <c r="K12" t="str">
        <f t="shared" si="1"/>
        <v>강수진 대리</v>
      </c>
      <c r="L12" t="str">
        <f t="shared" ca="1" si="2"/>
        <v>시니어</v>
      </c>
      <c r="M12" t="str" cm="1">
        <f t="array" ref="M12">_xlfn.IFS(D12&gt;=40,"40대", D12&gt;=30, "30대", TRUE,"20대")</f>
        <v>30대</v>
      </c>
    </row>
    <row r="13" spans="1:14" x14ac:dyDescent="0.45">
      <c r="A13" s="7" t="s">
        <v>30</v>
      </c>
      <c r="B13" s="7" t="s">
        <v>92</v>
      </c>
      <c r="C13" s="7" t="s">
        <v>31</v>
      </c>
      <c r="D13" s="8">
        <v>27</v>
      </c>
      <c r="E13" s="9">
        <v>44410</v>
      </c>
      <c r="F13" s="6" t="s">
        <v>25</v>
      </c>
      <c r="G13" s="6" t="s">
        <v>17</v>
      </c>
      <c r="H13" s="6"/>
      <c r="I13" s="10">
        <v>3400</v>
      </c>
      <c r="J13" t="str">
        <f t="shared" si="0"/>
        <v>평균 미만</v>
      </c>
      <c r="K13" t="str">
        <f t="shared" si="1"/>
        <v>장우진 사원</v>
      </c>
      <c r="L13" t="str">
        <f t="shared" ca="1" si="2"/>
        <v>주니어</v>
      </c>
      <c r="M13" t="str" cm="1">
        <f t="array" ref="M13">_xlfn.IFS(D13&gt;=40,"40대", D13&gt;=30, "30대", TRUE,"20대")</f>
        <v>20대</v>
      </c>
    </row>
    <row r="14" spans="1:14" x14ac:dyDescent="0.45">
      <c r="A14" s="7" t="s">
        <v>58</v>
      </c>
      <c r="B14" s="7" t="s">
        <v>59</v>
      </c>
      <c r="C14" s="7" t="s">
        <v>60</v>
      </c>
      <c r="D14" s="8">
        <v>49</v>
      </c>
      <c r="E14" s="9">
        <v>37679</v>
      </c>
      <c r="F14" s="6" t="s">
        <v>61</v>
      </c>
      <c r="G14" s="6" t="s">
        <v>9</v>
      </c>
      <c r="H14" s="6" t="s">
        <v>10</v>
      </c>
      <c r="I14" s="10">
        <v>14500</v>
      </c>
      <c r="J14" t="str">
        <f t="shared" si="0"/>
        <v>평균 이상</v>
      </c>
      <c r="K14" t="str">
        <f t="shared" si="1"/>
        <v>정승원 팀장</v>
      </c>
      <c r="L14" t="str">
        <f t="shared" ca="1" si="2"/>
        <v>시니어</v>
      </c>
      <c r="M14" t="str" cm="1">
        <f t="array" ref="M14">_xlfn.IFS(D14&gt;=40,"40대", D14&gt;=30, "30대", TRUE,"20대")</f>
        <v>40대</v>
      </c>
    </row>
    <row r="15" spans="1:14" x14ac:dyDescent="0.45">
      <c r="A15" s="7" t="s">
        <v>62</v>
      </c>
      <c r="B15" s="7" t="s">
        <v>63</v>
      </c>
      <c r="C15" s="7" t="s">
        <v>64</v>
      </c>
      <c r="D15" s="8">
        <v>37</v>
      </c>
      <c r="E15" s="9">
        <v>41242</v>
      </c>
      <c r="F15" s="6" t="s">
        <v>61</v>
      </c>
      <c r="G15" s="6" t="s">
        <v>21</v>
      </c>
      <c r="H15" s="6"/>
      <c r="I15" s="10">
        <v>7500</v>
      </c>
      <c r="J15" t="str">
        <f t="shared" si="0"/>
        <v>평균 이상</v>
      </c>
      <c r="K15" t="str">
        <f t="shared" si="1"/>
        <v>박세연 과장</v>
      </c>
      <c r="L15" t="str">
        <f t="shared" ca="1" si="2"/>
        <v>시니어</v>
      </c>
      <c r="M15" t="str" cm="1">
        <f t="array" ref="M15">_xlfn.IFS(D15&gt;=40,"40대", D15&gt;=30, "30대", TRUE,"20대")</f>
        <v>30대</v>
      </c>
    </row>
    <row r="16" spans="1:14" x14ac:dyDescent="0.45">
      <c r="A16" s="7" t="s">
        <v>65</v>
      </c>
      <c r="B16" s="7" t="s">
        <v>66</v>
      </c>
      <c r="C16" s="7" t="s">
        <v>67</v>
      </c>
      <c r="D16" s="8">
        <v>30</v>
      </c>
      <c r="E16" s="9">
        <v>43385</v>
      </c>
      <c r="F16" s="6" t="s">
        <v>61</v>
      </c>
      <c r="G16" s="6" t="s">
        <v>14</v>
      </c>
      <c r="H16" s="6"/>
      <c r="I16" s="10">
        <v>5800</v>
      </c>
      <c r="J16" t="str">
        <f t="shared" si="0"/>
        <v>평균 미만</v>
      </c>
      <c r="K16" t="str">
        <f t="shared" si="1"/>
        <v>이준서 대리</v>
      </c>
      <c r="L16" t="str">
        <f t="shared" ca="1" si="2"/>
        <v>시니어</v>
      </c>
      <c r="M16" t="str" cm="1">
        <f t="array" ref="M16">_xlfn.IFS(D16&gt;=40,"40대", D16&gt;=30, "30대", TRUE,"20대")</f>
        <v>30대</v>
      </c>
    </row>
    <row r="17" spans="1:13" x14ac:dyDescent="0.45">
      <c r="A17" s="7" t="s">
        <v>68</v>
      </c>
      <c r="B17" s="7" t="s">
        <v>69</v>
      </c>
      <c r="C17" s="7" t="s">
        <v>70</v>
      </c>
      <c r="D17" s="8">
        <v>27</v>
      </c>
      <c r="E17" s="9">
        <v>44719</v>
      </c>
      <c r="F17" s="6" t="s">
        <v>61</v>
      </c>
      <c r="G17" s="6" t="s">
        <v>17</v>
      </c>
      <c r="H17" s="6"/>
      <c r="I17" s="10">
        <v>4300</v>
      </c>
      <c r="J17" t="str">
        <f t="shared" si="0"/>
        <v>평균 미만</v>
      </c>
      <c r="K17" t="str">
        <f t="shared" si="1"/>
        <v>송지아 사원</v>
      </c>
      <c r="L17" t="str">
        <f t="shared" ca="1" si="2"/>
        <v>주니어</v>
      </c>
      <c r="M17" t="str" cm="1">
        <f t="array" ref="M17">_xlfn.IFS(D17&gt;=40,"40대", D17&gt;=30, "30대", TRUE,"20대")</f>
        <v>20대</v>
      </c>
    </row>
    <row r="18" spans="1:13" x14ac:dyDescent="0.45">
      <c r="A18" s="7" t="s">
        <v>32</v>
      </c>
      <c r="B18" s="7" t="s">
        <v>33</v>
      </c>
      <c r="C18" s="7" t="s">
        <v>34</v>
      </c>
      <c r="D18" s="8">
        <v>47</v>
      </c>
      <c r="E18" s="9">
        <v>38127</v>
      </c>
      <c r="F18" s="6" t="s">
        <v>35</v>
      </c>
      <c r="G18" s="6" t="s">
        <v>9</v>
      </c>
      <c r="H18" s="6" t="s">
        <v>10</v>
      </c>
      <c r="I18" s="10">
        <v>14000</v>
      </c>
      <c r="J18" t="str">
        <f t="shared" si="0"/>
        <v>평균 이상</v>
      </c>
      <c r="K18" t="str">
        <f t="shared" si="1"/>
        <v>김하은 팀장</v>
      </c>
      <c r="L18" t="str">
        <f t="shared" ca="1" si="2"/>
        <v>시니어</v>
      </c>
      <c r="M18" t="str" cm="1">
        <f t="array" ref="M18">_xlfn.IFS(D18&gt;=40,"40대", D18&gt;=30, "30대", TRUE,"20대")</f>
        <v>40대</v>
      </c>
    </row>
    <row r="19" spans="1:13" x14ac:dyDescent="0.45">
      <c r="A19" s="7" t="s">
        <v>36</v>
      </c>
      <c r="B19" s="7" t="s">
        <v>37</v>
      </c>
      <c r="C19" s="7" t="s">
        <v>38</v>
      </c>
      <c r="D19" s="8">
        <v>35</v>
      </c>
      <c r="E19" s="9">
        <v>42352</v>
      </c>
      <c r="F19" s="6" t="s">
        <v>35</v>
      </c>
      <c r="G19" s="6" t="s">
        <v>21</v>
      </c>
      <c r="H19" s="6"/>
      <c r="I19" s="10">
        <v>7300</v>
      </c>
      <c r="J19" t="str">
        <f t="shared" si="0"/>
        <v>평균 이상</v>
      </c>
      <c r="K19" t="str">
        <f t="shared" si="1"/>
        <v>박도현 과장</v>
      </c>
      <c r="L19" t="str">
        <f t="shared" ca="1" si="2"/>
        <v>시니어</v>
      </c>
      <c r="M19" t="str" cm="1">
        <f t="array" ref="M19">_xlfn.IFS(D19&gt;=40,"40대", D19&gt;=30, "30대", TRUE,"20대")</f>
        <v>30대</v>
      </c>
    </row>
    <row r="20" spans="1:13" x14ac:dyDescent="0.45">
      <c r="A20" s="7" t="s">
        <v>39</v>
      </c>
      <c r="B20" s="7" t="s">
        <v>40</v>
      </c>
      <c r="C20" s="7" t="s">
        <v>41</v>
      </c>
      <c r="D20" s="8">
        <v>32</v>
      </c>
      <c r="E20" s="9">
        <v>43220</v>
      </c>
      <c r="F20" s="6" t="s">
        <v>35</v>
      </c>
      <c r="G20" s="6" t="s">
        <v>14</v>
      </c>
      <c r="H20" s="6"/>
      <c r="I20" s="10">
        <v>6000</v>
      </c>
      <c r="J20" t="str">
        <f t="shared" si="0"/>
        <v>평균 이상</v>
      </c>
      <c r="K20" t="str">
        <f t="shared" si="1"/>
        <v>이수아 대리</v>
      </c>
      <c r="L20" t="str">
        <f t="shared" ca="1" si="2"/>
        <v>시니어</v>
      </c>
      <c r="M20" t="str" cm="1">
        <f t="array" ref="M20">_xlfn.IFS(D20&gt;=40,"40대", D20&gt;=30, "30대", TRUE,"20대")</f>
        <v>30대</v>
      </c>
    </row>
    <row r="21" spans="1:13" x14ac:dyDescent="0.45">
      <c r="A21" s="7" t="s">
        <v>42</v>
      </c>
      <c r="B21" s="7" t="s">
        <v>43</v>
      </c>
      <c r="C21" s="7" t="s">
        <v>44</v>
      </c>
      <c r="D21" s="8">
        <v>28</v>
      </c>
      <c r="E21" s="9">
        <v>44326</v>
      </c>
      <c r="F21" s="6" t="s">
        <v>35</v>
      </c>
      <c r="G21" s="6" t="s">
        <v>17</v>
      </c>
      <c r="H21" s="6"/>
      <c r="I21" s="10">
        <v>4500</v>
      </c>
      <c r="J21" t="str">
        <f t="shared" si="0"/>
        <v>평균 이상</v>
      </c>
      <c r="K21" t="str">
        <f t="shared" si="1"/>
        <v>윤재혁 사원</v>
      </c>
      <c r="L21" t="str">
        <f t="shared" ca="1" si="2"/>
        <v>주니어</v>
      </c>
      <c r="M21" t="str" cm="1">
        <f t="array" ref="M21">_xlfn.IFS(D21&gt;=40,"40대", D21&gt;=30, "30대", TRUE,"20대")</f>
        <v>20대</v>
      </c>
    </row>
    <row r="24" spans="1:13" x14ac:dyDescent="0.45">
      <c r="A24" s="27" t="s">
        <v>157</v>
      </c>
      <c r="B24" s="27"/>
      <c r="C24" s="27"/>
      <c r="D24" s="27"/>
      <c r="E24" s="27"/>
      <c r="F24" s="27"/>
      <c r="G24" s="27"/>
      <c r="H24" s="27"/>
    </row>
    <row r="25" spans="1:13" x14ac:dyDescent="0.45">
      <c r="A25" s="27"/>
      <c r="B25" s="27"/>
      <c r="C25" s="27"/>
      <c r="D25" s="27"/>
      <c r="E25" s="27"/>
      <c r="F25" s="27"/>
      <c r="G25" s="27"/>
      <c r="H25" s="27"/>
    </row>
    <row r="26" spans="1:13" x14ac:dyDescent="0.45">
      <c r="A26" s="27"/>
      <c r="B26" s="27"/>
      <c r="C26" s="27"/>
      <c r="D26" s="27"/>
      <c r="E26" s="27"/>
      <c r="F26" s="27"/>
      <c r="G26" s="27"/>
      <c r="H26" s="27"/>
    </row>
    <row r="27" spans="1:13" x14ac:dyDescent="0.45">
      <c r="A27" s="27"/>
      <c r="B27" s="27"/>
      <c r="C27" s="27"/>
      <c r="D27" s="27"/>
      <c r="E27" s="27"/>
      <c r="F27" s="27"/>
      <c r="G27" s="27"/>
      <c r="H27" s="27"/>
    </row>
    <row r="28" spans="1:13" x14ac:dyDescent="0.45">
      <c r="A28" s="27"/>
      <c r="B28" s="27"/>
      <c r="C28" s="27"/>
      <c r="D28" s="27"/>
      <c r="E28" s="27"/>
      <c r="F28" s="27"/>
      <c r="G28" s="27"/>
      <c r="H28" s="27"/>
    </row>
    <row r="29" spans="1:13" x14ac:dyDescent="0.45">
      <c r="A29" s="27"/>
      <c r="B29" s="27"/>
      <c r="C29" s="27"/>
      <c r="D29" s="27"/>
      <c r="E29" s="27"/>
      <c r="F29" s="27"/>
      <c r="G29" s="27"/>
      <c r="H29" s="27"/>
    </row>
    <row r="30" spans="1:13" x14ac:dyDescent="0.45">
      <c r="A30" s="27"/>
      <c r="B30" s="27"/>
      <c r="C30" s="27"/>
      <c r="D30" s="27"/>
      <c r="E30" s="27"/>
      <c r="F30" s="27"/>
      <c r="G30" s="27"/>
      <c r="H30" s="27"/>
    </row>
    <row r="31" spans="1:13" x14ac:dyDescent="0.45">
      <c r="A31" s="27"/>
      <c r="B31" s="27"/>
      <c r="C31" s="27"/>
      <c r="D31" s="27"/>
      <c r="E31" s="27"/>
      <c r="F31" s="27"/>
      <c r="G31" s="27"/>
      <c r="H31" s="27"/>
    </row>
    <row r="32" spans="1:13" x14ac:dyDescent="0.45">
      <c r="A32" s="27"/>
      <c r="B32" s="27"/>
      <c r="C32" s="27"/>
      <c r="D32" s="27"/>
      <c r="E32" s="27"/>
      <c r="F32" s="27"/>
      <c r="G32" s="27"/>
      <c r="H32" s="27"/>
    </row>
    <row r="33" spans="1:8" x14ac:dyDescent="0.45">
      <c r="A33" s="27"/>
      <c r="B33" s="27"/>
      <c r="C33" s="27"/>
      <c r="D33" s="27"/>
      <c r="E33" s="27"/>
      <c r="F33" s="27"/>
      <c r="G33" s="27"/>
      <c r="H33" s="27"/>
    </row>
    <row r="34" spans="1:8" x14ac:dyDescent="0.45">
      <c r="A34" s="27"/>
      <c r="B34" s="27"/>
      <c r="C34" s="27"/>
      <c r="D34" s="27"/>
      <c r="E34" s="27"/>
      <c r="F34" s="27"/>
      <c r="G34" s="27"/>
      <c r="H34" s="27"/>
    </row>
    <row r="35" spans="1:8" x14ac:dyDescent="0.45">
      <c r="A35" s="27"/>
      <c r="B35" s="27"/>
      <c r="C35" s="27"/>
      <c r="D35" s="27"/>
      <c r="E35" s="27"/>
      <c r="F35" s="27"/>
      <c r="G35" s="27"/>
      <c r="H35" s="27"/>
    </row>
    <row r="36" spans="1:8" x14ac:dyDescent="0.45">
      <c r="A36" s="27"/>
      <c r="B36" s="27"/>
      <c r="C36" s="27"/>
      <c r="D36" s="27"/>
      <c r="E36" s="27"/>
      <c r="F36" s="27"/>
      <c r="G36" s="27"/>
      <c r="H36" s="27"/>
    </row>
    <row r="37" spans="1:8" x14ac:dyDescent="0.45">
      <c r="A37" s="27"/>
      <c r="B37" s="27"/>
      <c r="C37" s="27"/>
      <c r="D37" s="27"/>
      <c r="E37" s="27"/>
      <c r="F37" s="27"/>
      <c r="G37" s="27"/>
      <c r="H37" s="27"/>
    </row>
    <row r="38" spans="1:8" x14ac:dyDescent="0.45">
      <c r="A38" s="27"/>
      <c r="B38" s="27"/>
      <c r="C38" s="27"/>
      <c r="D38" s="27"/>
      <c r="E38" s="27"/>
      <c r="F38" s="27"/>
      <c r="G38" s="27"/>
      <c r="H38" s="27"/>
    </row>
    <row r="39" spans="1:8" x14ac:dyDescent="0.45">
      <c r="A39" s="27"/>
      <c r="B39" s="27"/>
      <c r="C39" s="27"/>
      <c r="D39" s="27"/>
      <c r="E39" s="27"/>
      <c r="F39" s="27"/>
      <c r="G39" s="27"/>
      <c r="H39" s="27"/>
    </row>
    <row r="40" spans="1:8" x14ac:dyDescent="0.45">
      <c r="A40" s="27"/>
      <c r="B40" s="27"/>
      <c r="C40" s="27"/>
      <c r="D40" s="27"/>
      <c r="E40" s="27"/>
      <c r="F40" s="27"/>
      <c r="G40" s="27"/>
      <c r="H40" s="27"/>
    </row>
    <row r="41" spans="1:8" x14ac:dyDescent="0.45">
      <c r="A41" s="27"/>
      <c r="B41" s="27"/>
      <c r="C41" s="27"/>
      <c r="D41" s="27"/>
      <c r="E41" s="27"/>
      <c r="F41" s="27"/>
      <c r="G41" s="27"/>
      <c r="H41" s="27"/>
    </row>
  </sheetData>
  <mergeCells count="1">
    <mergeCell ref="A24:H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셀 기초+다양한 참조 방식</vt:lpstr>
      <vt:lpstr>기초통계와 기본함수</vt:lpstr>
      <vt:lpstr>수학&amp;순서함수</vt:lpstr>
      <vt:lpstr>날짜시간함수</vt:lpstr>
      <vt:lpstr>IF함수와조건식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Cecile</dc:creator>
  <cp:lastModifiedBy>수현 변</cp:lastModifiedBy>
  <dcterms:created xsi:type="dcterms:W3CDTF">2025-03-14T06:25:14Z</dcterms:created>
  <dcterms:modified xsi:type="dcterms:W3CDTF">2026-01-20T01:41:12Z</dcterms:modified>
</cp:coreProperties>
</file>