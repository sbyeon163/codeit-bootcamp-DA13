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hyeon\Workspace\코드잇_스프린트_DA_13기\7. 엑셀을활용한추론통계실습\"/>
    </mc:Choice>
  </mc:AlternateContent>
  <xr:revisionPtr revIDLastSave="0" documentId="13_ncr:1_{9E80BBD8-A5E4-4271-8FDA-A831849D56D7}" xr6:coauthVersionLast="47" xr6:coauthVersionMax="47" xr10:uidLastSave="{00000000-0000-0000-0000-000000000000}"/>
  <bookViews>
    <workbookView xWindow="12710" yWindow="0" windowWidth="12980" windowHeight="15370" activeTab="1" xr2:uid="{F7FEB3A2-B87C-C640-93A8-A99937E02B22}"/>
  </bookViews>
  <sheets>
    <sheet name="텍스트1" sheetId="1" r:id="rId1"/>
    <sheet name="텍스트2" sheetId="2" r:id="rId2"/>
    <sheet name="텍스트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D2" i="2" a="1"/>
  <c r="D2" i="2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F2" i="3" a="1"/>
  <c r="F2" i="3" s="1"/>
  <c r="E2" i="3" a="1"/>
  <c r="E2" i="3" s="1"/>
  <c r="G2" i="2" a="1"/>
  <c r="G2" i="2" s="1"/>
  <c r="E2" i="2" a="1"/>
  <c r="E2" i="2" s="1"/>
  <c r="F2" i="2" a="1"/>
  <c r="F2" i="2" s="1"/>
  <c r="G2" i="1" a="1"/>
  <c r="G2" i="1" s="1"/>
  <c r="F2" i="1" a="1"/>
  <c r="F2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<sst xmlns="http://schemas.openxmlformats.org/spreadsheetml/2006/main" count="207" uniqueCount="83">
  <si>
    <t>직원 이름</t>
  </si>
  <si>
    <t>한지민</t>
  </si>
  <si>
    <t>박혜진</t>
  </si>
  <si>
    <t>최유정</t>
  </si>
  <si>
    <t>임동현</t>
  </si>
  <si>
    <t>김지훈</t>
  </si>
  <si>
    <t>한예린</t>
  </si>
  <si>
    <t>이민서</t>
  </si>
  <si>
    <t>박준호</t>
  </si>
  <si>
    <t>최승현</t>
  </si>
  <si>
    <t>한상우</t>
  </si>
  <si>
    <t>강수진</t>
  </si>
  <si>
    <t>장우진</t>
  </si>
  <si>
    <t>정승원</t>
  </si>
  <si>
    <t>박세연</t>
  </si>
  <si>
    <t>이준서</t>
  </si>
  <si>
    <t>송지아</t>
  </si>
  <si>
    <t>김하은</t>
  </si>
  <si>
    <t>박도현</t>
  </si>
  <si>
    <t>이수아</t>
  </si>
  <si>
    <t>윤재혁</t>
  </si>
  <si>
    <t>jeemin han</t>
  </si>
  <si>
    <t>Hyejin Park</t>
  </si>
  <si>
    <t>영문 표기</t>
  </si>
  <si>
    <t>이메일 주소</t>
  </si>
  <si>
    <t>jeemin@codethat.com</t>
  </si>
  <si>
    <t>hyejin@codethat.com</t>
  </si>
  <si>
    <t>jihoon@codethat.com</t>
  </si>
  <si>
    <t>minseo Lee</t>
  </si>
  <si>
    <t>minseo@codethat.com</t>
  </si>
  <si>
    <t>JunHo Park</t>
  </si>
  <si>
    <t>junho@codethat.com</t>
  </si>
  <si>
    <t>Yerin HAN</t>
  </si>
  <si>
    <t>yerin@codethat.com</t>
  </si>
  <si>
    <t>SeungHyun choi</t>
  </si>
  <si>
    <t>seunghyun@codethat.com</t>
  </si>
  <si>
    <t>Sujin Kang</t>
  </si>
  <si>
    <t>sujin@codethat.com</t>
  </si>
  <si>
    <t>woojin jang</t>
  </si>
  <si>
    <t>woojin@codethat.com</t>
  </si>
  <si>
    <t>HAeun Kim</t>
  </si>
  <si>
    <t>haeun@codethat.com</t>
  </si>
  <si>
    <t>Dohyun park</t>
  </si>
  <si>
    <t>dohyun@codethat.com</t>
  </si>
  <si>
    <t>Sua Lee</t>
  </si>
  <si>
    <t>sua@codethat.com</t>
  </si>
  <si>
    <t>Jaehyuk Yoon</t>
  </si>
  <si>
    <t>jaehyuk@codethat.com</t>
  </si>
  <si>
    <t>DongHyun lim</t>
  </si>
  <si>
    <t>donghyun@codethat.com</t>
  </si>
  <si>
    <t>Yoojung Choi</t>
  </si>
  <si>
    <t>yoojung@codethat.com</t>
  </si>
  <si>
    <t>Seungwon JUNG</t>
  </si>
  <si>
    <t>seungwon@codethat.com</t>
  </si>
  <si>
    <t>seyeon PARK</t>
  </si>
  <si>
    <t>seyeon@codethat.com</t>
  </si>
  <si>
    <t>Junseo Lee</t>
  </si>
  <si>
    <t>junseo@codethat.com</t>
  </si>
  <si>
    <t>Jia song</t>
  </si>
  <si>
    <t>jia@codethat.com</t>
  </si>
  <si>
    <t>Sangwoo HAN</t>
  </si>
  <si>
    <t>sangwoo@codethat.com</t>
  </si>
  <si>
    <t>소문자</t>
    <phoneticPr fontId="2" type="noConversion"/>
  </si>
  <si>
    <t>대문자</t>
    <phoneticPr fontId="2" type="noConversion"/>
  </si>
  <si>
    <t>Jihoon kim</t>
    <phoneticPr fontId="2" type="noConversion"/>
  </si>
  <si>
    <t>첫단어만대문자</t>
    <phoneticPr fontId="2" type="noConversion"/>
  </si>
  <si>
    <t>텍스트결합(&amp;)</t>
    <phoneticPr fontId="2" type="noConversion"/>
  </si>
  <si>
    <t>find(특정 문자 위치 활용)</t>
    <phoneticPr fontId="2" type="noConversion"/>
  </si>
  <si>
    <t>이메일아이디</t>
    <phoneticPr fontId="2" type="noConversion"/>
  </si>
  <si>
    <t xml:space="preserve"> 골뱅이 다음 것 .</t>
    <phoneticPr fontId="2" type="noConversion"/>
  </si>
  <si>
    <t>mid / find를 이용해서 @와 .사이에있는것을모두 추출.</t>
    <phoneticPr fontId="2" type="noConversion"/>
  </si>
  <si>
    <t>jihoon@codethat.com</t>
    <phoneticPr fontId="2" type="noConversion"/>
  </si>
  <si>
    <t>seyeon@codethat.com</t>
    <phoneticPr fontId="2" type="noConversion"/>
  </si>
  <si>
    <t>텍스트 결합(concat)</t>
    <phoneticPr fontId="2" type="noConversion"/>
  </si>
  <si>
    <t>성</t>
    <phoneticPr fontId="2" type="noConversion"/>
  </si>
  <si>
    <t>이름</t>
    <phoneticPr fontId="2" type="noConversion"/>
  </si>
  <si>
    <t>회사명</t>
    <phoneticPr fontId="2" type="noConversion"/>
  </si>
  <si>
    <t>도메인 변경</t>
    <phoneticPr fontId="2" type="noConversion"/>
  </si>
  <si>
    <t>직원이름_TRIM</t>
    <phoneticPr fontId="2" type="noConversion"/>
  </si>
  <si>
    <r>
      <rPr>
        <b/>
        <sz val="12"/>
        <color theme="1"/>
        <rFont val="맑은 고딕"/>
        <family val="3"/>
        <charset val="129"/>
        <scheme val="minor"/>
      </rPr>
      <t>REPLACE(대상텍스트, 변경할텍스트시작위치,변경할텍스트길이,새로운텍스트)</t>
    </r>
    <r>
      <rPr>
        <sz val="12"/>
        <color theme="1"/>
        <rFont val="맑은 고딕"/>
        <family val="2"/>
        <charset val="129"/>
        <scheme val="minor"/>
      </rPr>
      <t xml:space="preserve">
: 텍스트의 일부를 변형하고 싶을 때 사용
=REPLACE(C2, FIND("@",C2)+1, 8,"codethis")
</t>
    </r>
    <r>
      <rPr>
        <b/>
        <sz val="12"/>
        <color theme="1"/>
        <rFont val="맑은 고딕"/>
        <family val="3"/>
        <charset val="129"/>
        <scheme val="minor"/>
      </rPr>
      <t xml:space="preserve">TRIM(대상셀): 텍스트 앞뒤로 공백이 잘못 들어간 경우 사용
LEN(대상셀): 텍스트 길이와 텍스트 마지막글자 위치 알려줌. 
</t>
    </r>
    <r>
      <rPr>
        <sz val="12"/>
        <color theme="1"/>
        <rFont val="맑은 고딕"/>
        <family val="2"/>
        <charset val="129"/>
        <scheme val="minor"/>
      </rPr>
      <t>-&gt;LEFT()함수들과 함께 사용하기에도 유용</t>
    </r>
    <phoneticPr fontId="2" type="noConversion"/>
  </si>
  <si>
    <t>길이</t>
    <phoneticPr fontId="2" type="noConversion"/>
  </si>
  <si>
    <r>
      <t xml:space="preserve">&lt;텍스트 숫자1&gt;
</t>
    </r>
    <r>
      <rPr>
        <b/>
        <sz val="12"/>
        <color theme="1"/>
        <rFont val="맑은 고딕"/>
        <family val="3"/>
        <charset val="129"/>
        <scheme val="minor"/>
      </rPr>
      <t>LOWER()</t>
    </r>
    <r>
      <rPr>
        <sz val="12"/>
        <color theme="1"/>
        <rFont val="맑은 고딕"/>
        <family val="2"/>
        <charset val="129"/>
        <scheme val="minor"/>
      </rPr>
      <t xml:space="preserve">: 영문 소문자
</t>
    </r>
    <r>
      <rPr>
        <b/>
        <sz val="12"/>
        <color theme="1"/>
        <rFont val="맑은 고딕"/>
        <family val="3"/>
        <charset val="129"/>
        <scheme val="minor"/>
      </rPr>
      <t>UPPER():</t>
    </r>
    <r>
      <rPr>
        <sz val="12"/>
        <color theme="1"/>
        <rFont val="맑은 고딕"/>
        <family val="2"/>
        <charset val="129"/>
        <scheme val="minor"/>
      </rPr>
      <t xml:space="preserve"> 영문 대문자
</t>
    </r>
    <r>
      <rPr>
        <b/>
        <sz val="12"/>
        <color theme="1"/>
        <rFont val="맑은 고딕"/>
        <family val="3"/>
        <charset val="129"/>
        <scheme val="minor"/>
      </rPr>
      <t>PROPER():</t>
    </r>
    <r>
      <rPr>
        <sz val="12"/>
        <color theme="1"/>
        <rFont val="맑은 고딕"/>
        <family val="2"/>
        <charset val="129"/>
        <scheme val="minor"/>
      </rPr>
      <t xml:space="preserve"> 첫문자만 대문자로(PROPER 케이스라고 함)
-텍스트 결합
1)</t>
    </r>
    <r>
      <rPr>
        <b/>
        <sz val="12"/>
        <color theme="1"/>
        <rFont val="맑은 고딕"/>
        <family val="3"/>
        <charset val="129"/>
        <scheme val="minor"/>
      </rPr>
      <t xml:space="preserve"> CONCAT(셀, " (",셀,")")</t>
    </r>
    <r>
      <rPr>
        <sz val="12"/>
        <color theme="1"/>
        <rFont val="맑은 고딕"/>
        <family val="2"/>
        <charset val="129"/>
        <scheme val="minor"/>
      </rPr>
      <t xml:space="preserve">
2) 셀&amp;" ("&amp;셀&amp;")"</t>
    </r>
    <phoneticPr fontId="2" type="noConversion"/>
  </si>
  <si>
    <r>
      <t xml:space="preserve">&lt;텍스트2&gt;
</t>
    </r>
    <r>
      <rPr>
        <b/>
        <sz val="12"/>
        <color theme="1"/>
        <rFont val="맑은 고딕"/>
        <family val="3"/>
        <charset val="129"/>
        <scheme val="minor"/>
      </rPr>
      <t>LEFT(대상 데이터, 추출할 텍스트 길이)</t>
    </r>
    <r>
      <rPr>
        <sz val="12"/>
        <color theme="1"/>
        <rFont val="맑은 고딕"/>
        <family val="2"/>
        <charset val="129"/>
        <scheme val="minor"/>
      </rPr>
      <t xml:space="preserve">:대상 길이 왼쪽에서부터 추출해주는 함수
</t>
    </r>
    <r>
      <rPr>
        <b/>
        <sz val="12"/>
        <color theme="1"/>
        <rFont val="맑은 고딕"/>
        <family val="3"/>
        <charset val="129"/>
        <scheme val="minor"/>
      </rPr>
      <t>RIGHT(대상 데이터, 추출할 텍스트 길이)</t>
    </r>
    <r>
      <rPr>
        <sz val="12"/>
        <color theme="1"/>
        <rFont val="맑은 고딕"/>
        <family val="2"/>
        <charset val="129"/>
        <scheme val="minor"/>
      </rPr>
      <t xml:space="preserve">: 대상 길이 오른쪽부터 추출해주는 함수
</t>
    </r>
    <r>
      <rPr>
        <b/>
        <sz val="12"/>
        <color theme="1"/>
        <rFont val="맑은 고딕"/>
        <family val="3"/>
        <charset val="129"/>
        <scheme val="minor"/>
      </rPr>
      <t>FIND(목표 텍스트 , 탐색할 데이터, 탐색 시작 지점):</t>
    </r>
    <r>
      <rPr>
        <sz val="12"/>
        <color theme="1"/>
        <rFont val="맑은 고딕"/>
        <family val="2"/>
        <charset val="129"/>
        <scheme val="minor"/>
      </rPr>
      <t xml:space="preserve"> 탐색할 데이터의 위치를 찾아주는 함수; 대소문자 구분에 엄격
=FIND("@",C2): @이가 A2에서 몇 번째에 있는지 찾아줌.
=LEFT(C2,FIND("@",C2)-1): @왼쪽으로 추출
</t>
    </r>
    <r>
      <rPr>
        <b/>
        <sz val="12"/>
        <color theme="1"/>
        <rFont val="맑은 고딕"/>
        <family val="3"/>
        <charset val="129"/>
        <scheme val="minor"/>
      </rPr>
      <t>MID(대상 데이터, 추출 시작 지점, 추출할 텍스트 길이)</t>
    </r>
    <r>
      <rPr>
        <sz val="12"/>
        <color theme="1"/>
        <rFont val="맑은 고딕"/>
        <family val="2"/>
        <charset val="129"/>
        <scheme val="minor"/>
      </rPr>
      <t xml:space="preserve">
=MID(C2, FIND("@",C2)+1, FIND(".",C2)-FIND("@",C2)-1)
SEARCH(): 대소문자 구분없이 탐색함.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</si>
</sst>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  <xf numFmtId="0" fontId="4" fillId="2" borderId="0" xfId="0" applyFont="1" applyFill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seyeon@codethat.com" TargetMode="External"/><Relationship Id="rId1" Type="http://schemas.openxmlformats.org/officeDocument/2006/relationships/hyperlink" Target="mailto:jihoon@codetha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6E39-5283-8142-B695-89A0363EFBBA}">
  <dimension ref="A1:I35"/>
  <sheetViews>
    <sheetView topLeftCell="A15" zoomScale="99" zoomScaleNormal="99" workbookViewId="0">
      <selection activeCell="B24" sqref="B24:E35"/>
    </sheetView>
  </sheetViews>
  <sheetFormatPr defaultColWidth="11.07421875" defaultRowHeight="17.5" x14ac:dyDescent="0.45"/>
  <cols>
    <col min="2" max="2" width="14.84375" bestFit="1" customWidth="1"/>
    <col min="3" max="3" width="23.3828125" bestFit="1" customWidth="1"/>
    <col min="6" max="6" width="15.84375" customWidth="1"/>
    <col min="7" max="7" width="14.4609375" bestFit="1" customWidth="1"/>
    <col min="8" max="8" width="20.07421875" customWidth="1"/>
    <col min="9" max="9" width="21.921875" customWidth="1"/>
  </cols>
  <sheetData>
    <row r="1" spans="1:9" x14ac:dyDescent="0.45">
      <c r="A1" s="1" t="s">
        <v>0</v>
      </c>
      <c r="B1" s="1" t="s">
        <v>23</v>
      </c>
      <c r="C1" s="1" t="s">
        <v>24</v>
      </c>
      <c r="E1" s="1" t="s">
        <v>62</v>
      </c>
      <c r="F1" s="1" t="s">
        <v>63</v>
      </c>
      <c r="G1" s="1" t="s">
        <v>65</v>
      </c>
      <c r="H1" s="1" t="s">
        <v>73</v>
      </c>
      <c r="I1" s="1" t="s">
        <v>66</v>
      </c>
    </row>
    <row r="2" spans="1:9" x14ac:dyDescent="0.45">
      <c r="A2" t="s">
        <v>5</v>
      </c>
      <c r="B2" t="s">
        <v>64</v>
      </c>
      <c r="C2" t="s">
        <v>27</v>
      </c>
      <c r="E2" t="str" cm="1">
        <f t="array" ref="E2:E21" xml:space="preserve"> LOWER(B2:B21)</f>
        <v>jihoon kim</v>
      </c>
      <c r="F2" t="str" cm="1">
        <f t="array" ref="F2:F21" xml:space="preserve"> UPPER(B2:B21)</f>
        <v>JIHOON KIM</v>
      </c>
      <c r="G2" t="str" cm="1">
        <f t="array" ref="G2:G21">PROPER(B2:B21)</f>
        <v>Jihoon Kim</v>
      </c>
      <c r="H2" t="str">
        <f>_xlfn.CONCAT(A2," (",G2,")")</f>
        <v>김지훈 (Jihoon Kim)</v>
      </c>
      <c r="I2" t="str">
        <f>A2&amp;" ("&amp;G2&amp;")"</f>
        <v>김지훈 (Jihoon Kim)</v>
      </c>
    </row>
    <row r="3" spans="1:9" x14ac:dyDescent="0.45">
      <c r="A3" t="s">
        <v>7</v>
      </c>
      <c r="B3" t="s">
        <v>28</v>
      </c>
      <c r="C3" t="s">
        <v>29</v>
      </c>
      <c r="E3" t="str">
        <v>minseo lee</v>
      </c>
      <c r="F3" t="str">
        <v>MINSEO LEE</v>
      </c>
      <c r="G3" t="str">
        <v>Minseo Lee</v>
      </c>
      <c r="H3" t="str">
        <f t="shared" ref="H3:H21" si="0">_xlfn.CONCAT(A3," (",G3,")")</f>
        <v>이민서 (Minseo Lee)</v>
      </c>
      <c r="I3" t="str">
        <f t="shared" ref="I3:I21" si="1">A3&amp;" ("&amp;G3&amp;")"</f>
        <v>이민서 (Minseo Lee)</v>
      </c>
    </row>
    <row r="4" spans="1:9" x14ac:dyDescent="0.45">
      <c r="A4" t="s">
        <v>8</v>
      </c>
      <c r="B4" t="s">
        <v>30</v>
      </c>
      <c r="C4" t="s">
        <v>31</v>
      </c>
      <c r="E4" t="str">
        <v>junho park</v>
      </c>
      <c r="F4" t="str">
        <v>JUNHO PARK</v>
      </c>
      <c r="G4" t="str">
        <v>Junho Park</v>
      </c>
      <c r="H4" t="str">
        <f t="shared" si="0"/>
        <v>박준호 (Junho Park)</v>
      </c>
      <c r="I4" t="str">
        <f t="shared" si="1"/>
        <v>박준호 (Junho Park)</v>
      </c>
    </row>
    <row r="5" spans="1:9" x14ac:dyDescent="0.45">
      <c r="A5" t="s">
        <v>6</v>
      </c>
      <c r="B5" t="s">
        <v>32</v>
      </c>
      <c r="C5" t="s">
        <v>33</v>
      </c>
      <c r="E5" t="str">
        <v>yerin han</v>
      </c>
      <c r="F5" t="str">
        <v>YERIN HAN</v>
      </c>
      <c r="G5" t="str">
        <v>Yerin Han</v>
      </c>
      <c r="H5" t="str">
        <f t="shared" si="0"/>
        <v>한예린 (Yerin Han)</v>
      </c>
      <c r="I5" t="str">
        <f t="shared" si="1"/>
        <v>한예린 (Yerin Han)</v>
      </c>
    </row>
    <row r="6" spans="1:9" x14ac:dyDescent="0.45">
      <c r="A6" t="s">
        <v>9</v>
      </c>
      <c r="B6" t="s">
        <v>34</v>
      </c>
      <c r="C6" t="s">
        <v>35</v>
      </c>
      <c r="E6" t="str">
        <v>seunghyun choi</v>
      </c>
      <c r="F6" t="str">
        <v>SEUNGHYUN CHOI</v>
      </c>
      <c r="G6" t="str">
        <v>Seunghyun Choi</v>
      </c>
      <c r="H6" t="str">
        <f t="shared" si="0"/>
        <v>최승현 (Seunghyun Choi)</v>
      </c>
      <c r="I6" t="str">
        <f t="shared" si="1"/>
        <v>최승현 (Seunghyun Choi)</v>
      </c>
    </row>
    <row r="7" spans="1:9" x14ac:dyDescent="0.45">
      <c r="A7" t="s">
        <v>11</v>
      </c>
      <c r="B7" t="s">
        <v>36</v>
      </c>
      <c r="C7" t="s">
        <v>37</v>
      </c>
      <c r="E7" t="str">
        <v>sujin kang</v>
      </c>
      <c r="F7" t="str">
        <v>SUJIN KANG</v>
      </c>
      <c r="G7" t="str">
        <v>Sujin Kang</v>
      </c>
      <c r="H7" t="str">
        <f t="shared" si="0"/>
        <v>강수진 (Sujin Kang)</v>
      </c>
      <c r="I7" t="str">
        <f t="shared" si="1"/>
        <v>강수진 (Sujin Kang)</v>
      </c>
    </row>
    <row r="8" spans="1:9" x14ac:dyDescent="0.45">
      <c r="A8" t="s">
        <v>12</v>
      </c>
      <c r="B8" t="s">
        <v>38</v>
      </c>
      <c r="C8" t="s">
        <v>39</v>
      </c>
      <c r="E8" t="str">
        <v>woojin jang</v>
      </c>
      <c r="F8" t="str">
        <v>WOOJIN JANG</v>
      </c>
      <c r="G8" t="str">
        <v>Woojin Jang</v>
      </c>
      <c r="H8" t="str">
        <f t="shared" si="0"/>
        <v>장우진 (Woojin Jang)</v>
      </c>
      <c r="I8" t="str">
        <f t="shared" si="1"/>
        <v>장우진 (Woojin Jang)</v>
      </c>
    </row>
    <row r="9" spans="1:9" x14ac:dyDescent="0.45">
      <c r="A9" t="s">
        <v>17</v>
      </c>
      <c r="B9" t="s">
        <v>40</v>
      </c>
      <c r="C9" t="s">
        <v>41</v>
      </c>
      <c r="E9" t="str">
        <v>haeun kim</v>
      </c>
      <c r="F9" t="str">
        <v>HAEUN KIM</v>
      </c>
      <c r="G9" t="str">
        <v>Haeun Kim</v>
      </c>
      <c r="H9" t="str">
        <f t="shared" si="0"/>
        <v>김하은 (Haeun Kim)</v>
      </c>
      <c r="I9" t="str">
        <f t="shared" si="1"/>
        <v>김하은 (Haeun Kim)</v>
      </c>
    </row>
    <row r="10" spans="1:9" x14ac:dyDescent="0.45">
      <c r="A10" t="s">
        <v>18</v>
      </c>
      <c r="B10" t="s">
        <v>42</v>
      </c>
      <c r="C10" t="s">
        <v>43</v>
      </c>
      <c r="E10" t="str">
        <v>dohyun park</v>
      </c>
      <c r="F10" t="str">
        <v>DOHYUN PARK</v>
      </c>
      <c r="G10" t="str">
        <v>Dohyun Park</v>
      </c>
      <c r="H10" t="str">
        <f t="shared" si="0"/>
        <v>박도현 (Dohyun Park)</v>
      </c>
      <c r="I10" t="str">
        <f t="shared" si="1"/>
        <v>박도현 (Dohyun Park)</v>
      </c>
    </row>
    <row r="11" spans="1:9" x14ac:dyDescent="0.45">
      <c r="A11" t="s">
        <v>19</v>
      </c>
      <c r="B11" t="s">
        <v>44</v>
      </c>
      <c r="C11" t="s">
        <v>45</v>
      </c>
      <c r="E11" t="str">
        <v>sua lee</v>
      </c>
      <c r="F11" t="str">
        <v>SUA LEE</v>
      </c>
      <c r="G11" t="str">
        <v>Sua Lee</v>
      </c>
      <c r="H11" t="str">
        <f t="shared" si="0"/>
        <v>이수아 (Sua Lee)</v>
      </c>
      <c r="I11" t="str">
        <f t="shared" si="1"/>
        <v>이수아 (Sua Lee)</v>
      </c>
    </row>
    <row r="12" spans="1:9" x14ac:dyDescent="0.45">
      <c r="A12" t="s">
        <v>20</v>
      </c>
      <c r="B12" t="s">
        <v>46</v>
      </c>
      <c r="C12" t="s">
        <v>47</v>
      </c>
      <c r="E12" t="str">
        <v>jaehyuk yoon</v>
      </c>
      <c r="F12" t="str">
        <v>JAEHYUK YOON</v>
      </c>
      <c r="G12" t="str">
        <v>Jaehyuk Yoon</v>
      </c>
      <c r="H12" t="str">
        <f t="shared" si="0"/>
        <v>윤재혁 (Jaehyuk Yoon)</v>
      </c>
      <c r="I12" t="str">
        <f t="shared" si="1"/>
        <v>윤재혁 (Jaehyuk Yoon)</v>
      </c>
    </row>
    <row r="13" spans="1:9" x14ac:dyDescent="0.45">
      <c r="A13" t="s">
        <v>1</v>
      </c>
      <c r="B13" t="s">
        <v>21</v>
      </c>
      <c r="C13" t="s">
        <v>25</v>
      </c>
      <c r="E13" t="str">
        <v>jeemin han</v>
      </c>
      <c r="F13" t="str">
        <v>JEEMIN HAN</v>
      </c>
      <c r="G13" t="str">
        <v>Jeemin Han</v>
      </c>
      <c r="H13" t="str">
        <f t="shared" si="0"/>
        <v>한지민 (Jeemin Han)</v>
      </c>
      <c r="I13" t="str">
        <f t="shared" si="1"/>
        <v>한지민 (Jeemin Han)</v>
      </c>
    </row>
    <row r="14" spans="1:9" x14ac:dyDescent="0.45">
      <c r="A14" t="s">
        <v>2</v>
      </c>
      <c r="B14" t="s">
        <v>22</v>
      </c>
      <c r="C14" t="s">
        <v>26</v>
      </c>
      <c r="E14" t="str">
        <v>hyejin park</v>
      </c>
      <c r="F14" t="str">
        <v>HYEJIN PARK</v>
      </c>
      <c r="G14" t="str">
        <v>Hyejin Park</v>
      </c>
      <c r="H14" t="str">
        <f t="shared" si="0"/>
        <v>박혜진 (Hyejin Park)</v>
      </c>
      <c r="I14" t="str">
        <f t="shared" si="1"/>
        <v>박혜진 (Hyejin Park)</v>
      </c>
    </row>
    <row r="15" spans="1:9" x14ac:dyDescent="0.45">
      <c r="A15" t="s">
        <v>4</v>
      </c>
      <c r="B15" t="s">
        <v>48</v>
      </c>
      <c r="C15" t="s">
        <v>49</v>
      </c>
      <c r="E15" t="str">
        <v>donghyun lim</v>
      </c>
      <c r="F15" t="str">
        <v>DONGHYUN LIM</v>
      </c>
      <c r="G15" t="str">
        <v>Donghyun Lim</v>
      </c>
      <c r="H15" t="str">
        <f t="shared" si="0"/>
        <v>임동현 (Donghyun Lim)</v>
      </c>
      <c r="I15" t="str">
        <f t="shared" si="1"/>
        <v>임동현 (Donghyun Lim)</v>
      </c>
    </row>
    <row r="16" spans="1:9" x14ac:dyDescent="0.45">
      <c r="A16" t="s">
        <v>3</v>
      </c>
      <c r="B16" t="s">
        <v>50</v>
      </c>
      <c r="C16" t="s">
        <v>51</v>
      </c>
      <c r="E16" t="str">
        <v>yoojung choi</v>
      </c>
      <c r="F16" t="str">
        <v>YOOJUNG CHOI</v>
      </c>
      <c r="G16" t="str">
        <v>Yoojung Choi</v>
      </c>
      <c r="H16" t="str">
        <f t="shared" si="0"/>
        <v>최유정 (Yoojung Choi)</v>
      </c>
      <c r="I16" t="str">
        <f t="shared" si="1"/>
        <v>최유정 (Yoojung Choi)</v>
      </c>
    </row>
    <row r="17" spans="1:9" x14ac:dyDescent="0.45">
      <c r="A17" t="s">
        <v>13</v>
      </c>
      <c r="B17" t="s">
        <v>52</v>
      </c>
      <c r="C17" t="s">
        <v>53</v>
      </c>
      <c r="E17" t="str">
        <v>seungwon jung</v>
      </c>
      <c r="F17" t="str">
        <v>SEUNGWON JUNG</v>
      </c>
      <c r="G17" t="str">
        <v>Seungwon Jung</v>
      </c>
      <c r="H17" t="str">
        <f t="shared" si="0"/>
        <v>정승원 (Seungwon Jung)</v>
      </c>
      <c r="I17" t="str">
        <f t="shared" si="1"/>
        <v>정승원 (Seungwon Jung)</v>
      </c>
    </row>
    <row r="18" spans="1:9" x14ac:dyDescent="0.45">
      <c r="A18" t="s">
        <v>14</v>
      </c>
      <c r="B18" t="s">
        <v>54</v>
      </c>
      <c r="C18" t="s">
        <v>55</v>
      </c>
      <c r="E18" t="str">
        <v>seyeon park</v>
      </c>
      <c r="F18" t="str">
        <v>SEYEON PARK</v>
      </c>
      <c r="G18" t="str">
        <v>Seyeon Park</v>
      </c>
      <c r="H18" t="str">
        <f t="shared" si="0"/>
        <v>박세연 (Seyeon Park)</v>
      </c>
      <c r="I18" t="str">
        <f t="shared" si="1"/>
        <v>박세연 (Seyeon Park)</v>
      </c>
    </row>
    <row r="19" spans="1:9" x14ac:dyDescent="0.45">
      <c r="A19" t="s">
        <v>15</v>
      </c>
      <c r="B19" t="s">
        <v>56</v>
      </c>
      <c r="C19" t="s">
        <v>57</v>
      </c>
      <c r="E19" t="str">
        <v>junseo lee</v>
      </c>
      <c r="F19" t="str">
        <v>JUNSEO LEE</v>
      </c>
      <c r="G19" t="str">
        <v>Junseo Lee</v>
      </c>
      <c r="H19" t="str">
        <f t="shared" si="0"/>
        <v>이준서 (Junseo Lee)</v>
      </c>
      <c r="I19" t="str">
        <f t="shared" si="1"/>
        <v>이준서 (Junseo Lee)</v>
      </c>
    </row>
    <row r="20" spans="1:9" x14ac:dyDescent="0.45">
      <c r="A20" t="s">
        <v>16</v>
      </c>
      <c r="B20" t="s">
        <v>58</v>
      </c>
      <c r="C20" t="s">
        <v>59</v>
      </c>
      <c r="E20" t="str">
        <v>jia song</v>
      </c>
      <c r="F20" t="str">
        <v>JIA SONG</v>
      </c>
      <c r="G20" t="str">
        <v>Jia Song</v>
      </c>
      <c r="H20" t="str">
        <f t="shared" si="0"/>
        <v>송지아 (Jia Song)</v>
      </c>
      <c r="I20" t="str">
        <f t="shared" si="1"/>
        <v>송지아 (Jia Song)</v>
      </c>
    </row>
    <row r="21" spans="1:9" x14ac:dyDescent="0.45">
      <c r="A21" t="s">
        <v>10</v>
      </c>
      <c r="B21" t="s">
        <v>60</v>
      </c>
      <c r="C21" t="s">
        <v>61</v>
      </c>
      <c r="E21" t="str">
        <v>sangwoo han</v>
      </c>
      <c r="F21" t="str">
        <v>SANGWOO HAN</v>
      </c>
      <c r="G21" t="str">
        <v>Sangwoo Han</v>
      </c>
      <c r="H21" t="str">
        <f t="shared" si="0"/>
        <v>한상우 (Sangwoo Han)</v>
      </c>
      <c r="I21" t="str">
        <f t="shared" si="1"/>
        <v>한상우 (Sangwoo Han)</v>
      </c>
    </row>
    <row r="24" spans="1:9" x14ac:dyDescent="0.45">
      <c r="B24" s="5" t="s">
        <v>81</v>
      </c>
      <c r="C24" s="6"/>
      <c r="D24" s="6"/>
      <c r="E24" s="6"/>
    </row>
    <row r="25" spans="1:9" x14ac:dyDescent="0.45">
      <c r="B25" s="6"/>
      <c r="C25" s="6"/>
      <c r="D25" s="6"/>
      <c r="E25" s="6"/>
    </row>
    <row r="26" spans="1:9" x14ac:dyDescent="0.45">
      <c r="B26" s="6"/>
      <c r="C26" s="6"/>
      <c r="D26" s="6"/>
      <c r="E26" s="6"/>
    </row>
    <row r="27" spans="1:9" x14ac:dyDescent="0.45">
      <c r="B27" s="6"/>
      <c r="C27" s="6"/>
      <c r="D27" s="6"/>
      <c r="E27" s="6"/>
    </row>
    <row r="28" spans="1:9" x14ac:dyDescent="0.45">
      <c r="B28" s="6"/>
      <c r="C28" s="6"/>
      <c r="D28" s="6"/>
      <c r="E28" s="6"/>
    </row>
    <row r="29" spans="1:9" x14ac:dyDescent="0.45">
      <c r="B29" s="6"/>
      <c r="C29" s="6"/>
      <c r="D29" s="6"/>
      <c r="E29" s="6"/>
    </row>
    <row r="30" spans="1:9" x14ac:dyDescent="0.45">
      <c r="B30" s="6"/>
      <c r="C30" s="6"/>
      <c r="D30" s="6"/>
      <c r="E30" s="6"/>
    </row>
    <row r="31" spans="1:9" x14ac:dyDescent="0.45">
      <c r="B31" s="6"/>
      <c r="C31" s="6"/>
      <c r="D31" s="6"/>
      <c r="E31" s="6"/>
    </row>
    <row r="32" spans="1:9" x14ac:dyDescent="0.45">
      <c r="B32" s="6"/>
      <c r="C32" s="6"/>
      <c r="D32" s="6"/>
      <c r="E32" s="6"/>
    </row>
    <row r="33" spans="2:5" x14ac:dyDescent="0.45">
      <c r="B33" s="6"/>
      <c r="C33" s="6"/>
      <c r="D33" s="6"/>
      <c r="E33" s="6"/>
    </row>
    <row r="34" spans="2:5" x14ac:dyDescent="0.45">
      <c r="B34" s="6"/>
      <c r="C34" s="6"/>
      <c r="D34" s="6"/>
      <c r="E34" s="6"/>
    </row>
    <row r="35" spans="2:5" x14ac:dyDescent="0.45">
      <c r="B35" s="6"/>
      <c r="C35" s="6"/>
      <c r="D35" s="6"/>
      <c r="E35" s="6"/>
    </row>
  </sheetData>
  <mergeCells count="1">
    <mergeCell ref="B24:E3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E544-F751-47A0-A4FE-F48E49124FC4}">
  <dimension ref="A1:I35"/>
  <sheetViews>
    <sheetView tabSelected="1" topLeftCell="B22" zoomScaleNormal="100" workbookViewId="0">
      <selection activeCell="C24" sqref="C24:E35"/>
    </sheetView>
  </sheetViews>
  <sheetFormatPr defaultRowHeight="17.5" x14ac:dyDescent="0.45"/>
  <cols>
    <col min="2" max="2" width="14.84375" bestFit="1" customWidth="1"/>
    <col min="3" max="3" width="23.3828125" bestFit="1" customWidth="1"/>
    <col min="4" max="4" width="21.15234375" bestFit="1" customWidth="1"/>
    <col min="5" max="5" width="29.07421875" bestFit="1" customWidth="1"/>
    <col min="6" max="6" width="22.53515625" customWidth="1"/>
    <col min="7" max="7" width="12.4609375" bestFit="1" customWidth="1"/>
    <col min="8" max="8" width="18.84375" bestFit="1" customWidth="1"/>
  </cols>
  <sheetData>
    <row r="1" spans="1:9" x14ac:dyDescent="0.45">
      <c r="A1" s="1" t="s">
        <v>0</v>
      </c>
      <c r="B1" s="1" t="s">
        <v>23</v>
      </c>
      <c r="C1" s="1" t="s">
        <v>24</v>
      </c>
      <c r="D1" s="1" t="s">
        <v>74</v>
      </c>
      <c r="E1" s="1" t="s">
        <v>75</v>
      </c>
      <c r="F1" s="1" t="s">
        <v>67</v>
      </c>
      <c r="G1" s="1" t="s">
        <v>68</v>
      </c>
      <c r="H1" s="1" t="s">
        <v>76</v>
      </c>
      <c r="I1" s="1" t="s">
        <v>70</v>
      </c>
    </row>
    <row r="2" spans="1:9" x14ac:dyDescent="0.45">
      <c r="A2" t="s">
        <v>5</v>
      </c>
      <c r="B2" t="s">
        <v>64</v>
      </c>
      <c r="C2" t="s">
        <v>27</v>
      </c>
      <c r="D2" t="str" cm="1">
        <f t="array" ref="D2:D21">LEFT(A2:A21,1)</f>
        <v>김</v>
      </c>
      <c r="E2" t="str" cm="1">
        <f t="array" ref="E2:E21">RIGHT(A2:A21,2)</f>
        <v>지훈</v>
      </c>
      <c r="F2" s="3" cm="1">
        <f t="array" ref="F2:F21">FIND("@",C2:C21)</f>
        <v>7</v>
      </c>
      <c r="G2" t="str" cm="1">
        <f t="array" ref="G2:G21">LEFT(C2:C21,FIND("@",C2:C21)-1)</f>
        <v>jihoon</v>
      </c>
      <c r="H2" t="str">
        <f>MID(C2, FIND("@",C2)+1, FIND(".",C2)-FIND("@",C2)-1)</f>
        <v>codethat</v>
      </c>
      <c r="I2" t="s">
        <v>69</v>
      </c>
    </row>
    <row r="3" spans="1:9" x14ac:dyDescent="0.45">
      <c r="A3" t="s">
        <v>7</v>
      </c>
      <c r="B3" t="s">
        <v>28</v>
      </c>
      <c r="C3" t="s">
        <v>29</v>
      </c>
      <c r="D3" t="str">
        <v>이</v>
      </c>
      <c r="E3" t="str">
        <v>민서</v>
      </c>
      <c r="F3" s="3">
        <v>7</v>
      </c>
      <c r="G3" t="str">
        <v>minseo</v>
      </c>
      <c r="H3" t="str">
        <f t="shared" ref="H3:H21" si="0">MID(C3, FIND("@",C3)+1, FIND(".",C3)-FIND("@",C3)-1)</f>
        <v>codethat</v>
      </c>
    </row>
    <row r="4" spans="1:9" x14ac:dyDescent="0.45">
      <c r="A4" t="s">
        <v>8</v>
      </c>
      <c r="B4" t="s">
        <v>30</v>
      </c>
      <c r="C4" t="s">
        <v>31</v>
      </c>
      <c r="D4" t="str">
        <v>박</v>
      </c>
      <c r="E4" t="str">
        <v>준호</v>
      </c>
      <c r="F4" s="3">
        <v>6</v>
      </c>
      <c r="G4" t="str">
        <v>junho</v>
      </c>
      <c r="H4" t="str">
        <f t="shared" si="0"/>
        <v>codethat</v>
      </c>
    </row>
    <row r="5" spans="1:9" x14ac:dyDescent="0.45">
      <c r="A5" t="s">
        <v>6</v>
      </c>
      <c r="B5" t="s">
        <v>32</v>
      </c>
      <c r="C5" t="s">
        <v>33</v>
      </c>
      <c r="D5" t="str">
        <v>한</v>
      </c>
      <c r="E5" t="str">
        <v>예린</v>
      </c>
      <c r="F5" s="3">
        <v>6</v>
      </c>
      <c r="G5" t="str">
        <v>yerin</v>
      </c>
      <c r="H5" t="str">
        <f t="shared" si="0"/>
        <v>codethat</v>
      </c>
    </row>
    <row r="6" spans="1:9" x14ac:dyDescent="0.45">
      <c r="A6" t="s">
        <v>9</v>
      </c>
      <c r="B6" t="s">
        <v>34</v>
      </c>
      <c r="C6" t="s">
        <v>35</v>
      </c>
      <c r="D6" t="str">
        <v>최</v>
      </c>
      <c r="E6" t="str">
        <v>승현</v>
      </c>
      <c r="F6" s="3">
        <v>10</v>
      </c>
      <c r="G6" t="str">
        <v>seunghyun</v>
      </c>
      <c r="H6" t="str">
        <f t="shared" si="0"/>
        <v>codethat</v>
      </c>
    </row>
    <row r="7" spans="1:9" x14ac:dyDescent="0.45">
      <c r="A7" t="s">
        <v>11</v>
      </c>
      <c r="B7" t="s">
        <v>36</v>
      </c>
      <c r="C7" t="s">
        <v>37</v>
      </c>
      <c r="D7" t="str">
        <v>강</v>
      </c>
      <c r="E7" t="str">
        <v>수진</v>
      </c>
      <c r="F7" s="3">
        <v>6</v>
      </c>
      <c r="G7" t="str">
        <v>sujin</v>
      </c>
      <c r="H7" t="str">
        <f t="shared" si="0"/>
        <v>codethat</v>
      </c>
    </row>
    <row r="8" spans="1:9" x14ac:dyDescent="0.45">
      <c r="A8" t="s">
        <v>12</v>
      </c>
      <c r="B8" t="s">
        <v>38</v>
      </c>
      <c r="C8" t="s">
        <v>39</v>
      </c>
      <c r="D8" t="str">
        <v>장</v>
      </c>
      <c r="E8" t="str">
        <v>우진</v>
      </c>
      <c r="F8" s="3">
        <v>7</v>
      </c>
      <c r="G8" t="str">
        <v>woojin</v>
      </c>
      <c r="H8" t="str">
        <f t="shared" si="0"/>
        <v>codethat</v>
      </c>
    </row>
    <row r="9" spans="1:9" x14ac:dyDescent="0.45">
      <c r="A9" t="s">
        <v>17</v>
      </c>
      <c r="B9" t="s">
        <v>40</v>
      </c>
      <c r="C9" t="s">
        <v>41</v>
      </c>
      <c r="D9" t="str">
        <v>김</v>
      </c>
      <c r="E9" t="str">
        <v>하은</v>
      </c>
      <c r="F9" s="3">
        <v>6</v>
      </c>
      <c r="G9" t="str">
        <v>haeun</v>
      </c>
      <c r="H9" t="str">
        <f t="shared" si="0"/>
        <v>codethat</v>
      </c>
    </row>
    <row r="10" spans="1:9" x14ac:dyDescent="0.45">
      <c r="A10" t="s">
        <v>18</v>
      </c>
      <c r="B10" t="s">
        <v>42</v>
      </c>
      <c r="C10" t="s">
        <v>43</v>
      </c>
      <c r="D10" t="str">
        <v>박</v>
      </c>
      <c r="E10" t="str">
        <v>도현</v>
      </c>
      <c r="F10" s="3">
        <v>7</v>
      </c>
      <c r="G10" t="str">
        <v>dohyun</v>
      </c>
      <c r="H10" t="str">
        <f t="shared" si="0"/>
        <v>codethat</v>
      </c>
    </row>
    <row r="11" spans="1:9" x14ac:dyDescent="0.45">
      <c r="A11" t="s">
        <v>19</v>
      </c>
      <c r="B11" t="s">
        <v>44</v>
      </c>
      <c r="C11" t="s">
        <v>45</v>
      </c>
      <c r="D11" t="str">
        <v>이</v>
      </c>
      <c r="E11" t="str">
        <v>수아</v>
      </c>
      <c r="F11" s="3">
        <v>4</v>
      </c>
      <c r="G11" t="str">
        <v>sua</v>
      </c>
      <c r="H11" t="str">
        <f t="shared" si="0"/>
        <v>codethat</v>
      </c>
    </row>
    <row r="12" spans="1:9" x14ac:dyDescent="0.45">
      <c r="A12" t="s">
        <v>20</v>
      </c>
      <c r="B12" t="s">
        <v>46</v>
      </c>
      <c r="C12" t="s">
        <v>47</v>
      </c>
      <c r="D12" t="str">
        <v>윤</v>
      </c>
      <c r="E12" t="str">
        <v>재혁</v>
      </c>
      <c r="F12" s="3">
        <v>8</v>
      </c>
      <c r="G12" t="str">
        <v>jaehyuk</v>
      </c>
      <c r="H12" t="str">
        <f t="shared" si="0"/>
        <v>codethat</v>
      </c>
    </row>
    <row r="13" spans="1:9" x14ac:dyDescent="0.45">
      <c r="A13" t="s">
        <v>1</v>
      </c>
      <c r="B13" t="s">
        <v>21</v>
      </c>
      <c r="C13" t="s">
        <v>25</v>
      </c>
      <c r="D13" t="str">
        <v>한</v>
      </c>
      <c r="E13" t="str">
        <v>지민</v>
      </c>
      <c r="F13" s="3">
        <v>7</v>
      </c>
      <c r="G13" t="str">
        <v>jeemin</v>
      </c>
      <c r="H13" t="str">
        <f t="shared" si="0"/>
        <v>codethat</v>
      </c>
    </row>
    <row r="14" spans="1:9" x14ac:dyDescent="0.45">
      <c r="A14" t="s">
        <v>2</v>
      </c>
      <c r="B14" t="s">
        <v>22</v>
      </c>
      <c r="C14" t="s">
        <v>26</v>
      </c>
      <c r="D14" t="str">
        <v>박</v>
      </c>
      <c r="E14" t="str">
        <v>혜진</v>
      </c>
      <c r="F14" s="3">
        <v>7</v>
      </c>
      <c r="G14" t="str">
        <v>hyejin</v>
      </c>
      <c r="H14" t="str">
        <f t="shared" si="0"/>
        <v>codethat</v>
      </c>
    </row>
    <row r="15" spans="1:9" x14ac:dyDescent="0.45">
      <c r="A15" t="s">
        <v>4</v>
      </c>
      <c r="B15" t="s">
        <v>48</v>
      </c>
      <c r="C15" t="s">
        <v>49</v>
      </c>
      <c r="D15" t="str">
        <v>임</v>
      </c>
      <c r="E15" t="str">
        <v>동현</v>
      </c>
      <c r="F15" s="3">
        <v>9</v>
      </c>
      <c r="G15" t="str">
        <v>donghyun</v>
      </c>
      <c r="H15" t="str">
        <f t="shared" si="0"/>
        <v>codethat</v>
      </c>
    </row>
    <row r="16" spans="1:9" x14ac:dyDescent="0.45">
      <c r="A16" t="s">
        <v>3</v>
      </c>
      <c r="B16" t="s">
        <v>50</v>
      </c>
      <c r="C16" t="s">
        <v>51</v>
      </c>
      <c r="D16" t="str">
        <v>최</v>
      </c>
      <c r="E16" t="str">
        <v>유정</v>
      </c>
      <c r="F16" s="3">
        <v>8</v>
      </c>
      <c r="G16" t="str">
        <v>yoojung</v>
      </c>
      <c r="H16" t="str">
        <f t="shared" si="0"/>
        <v>codethat</v>
      </c>
    </row>
    <row r="17" spans="1:8" x14ac:dyDescent="0.45">
      <c r="A17" t="s">
        <v>13</v>
      </c>
      <c r="B17" t="s">
        <v>52</v>
      </c>
      <c r="C17" t="s">
        <v>53</v>
      </c>
      <c r="D17" t="str">
        <v>정</v>
      </c>
      <c r="E17" t="str">
        <v>승원</v>
      </c>
      <c r="F17" s="3">
        <v>9</v>
      </c>
      <c r="G17" t="str">
        <v>seungwon</v>
      </c>
      <c r="H17" t="str">
        <f t="shared" si="0"/>
        <v>codethat</v>
      </c>
    </row>
    <row r="18" spans="1:8" x14ac:dyDescent="0.45">
      <c r="A18" t="s">
        <v>14</v>
      </c>
      <c r="B18" t="s">
        <v>54</v>
      </c>
      <c r="C18" t="s">
        <v>55</v>
      </c>
      <c r="D18" t="str">
        <v>박</v>
      </c>
      <c r="E18" t="str">
        <v>세연</v>
      </c>
      <c r="F18" s="3">
        <v>7</v>
      </c>
      <c r="G18" t="str">
        <v>seyeon</v>
      </c>
      <c r="H18" t="str">
        <f t="shared" si="0"/>
        <v>codethat</v>
      </c>
    </row>
    <row r="19" spans="1:8" x14ac:dyDescent="0.45">
      <c r="A19" t="s">
        <v>15</v>
      </c>
      <c r="B19" t="s">
        <v>56</v>
      </c>
      <c r="C19" t="s">
        <v>57</v>
      </c>
      <c r="D19" t="str">
        <v>이</v>
      </c>
      <c r="E19" t="str">
        <v>준서</v>
      </c>
      <c r="F19" s="3">
        <v>7</v>
      </c>
      <c r="G19" t="str">
        <v>junseo</v>
      </c>
      <c r="H19" t="str">
        <f t="shared" si="0"/>
        <v>codethat</v>
      </c>
    </row>
    <row r="20" spans="1:8" x14ac:dyDescent="0.45">
      <c r="A20" t="s">
        <v>16</v>
      </c>
      <c r="B20" t="s">
        <v>58</v>
      </c>
      <c r="C20" t="s">
        <v>59</v>
      </c>
      <c r="D20" t="str">
        <v>송</v>
      </c>
      <c r="E20" t="str">
        <v>지아</v>
      </c>
      <c r="F20" s="3">
        <v>4</v>
      </c>
      <c r="G20" t="str">
        <v>jia</v>
      </c>
      <c r="H20" t="str">
        <f t="shared" si="0"/>
        <v>codethat</v>
      </c>
    </row>
    <row r="21" spans="1:8" x14ac:dyDescent="0.45">
      <c r="A21" t="s">
        <v>10</v>
      </c>
      <c r="B21" t="s">
        <v>60</v>
      </c>
      <c r="C21" t="s">
        <v>61</v>
      </c>
      <c r="D21" t="str">
        <v>한</v>
      </c>
      <c r="E21" t="str">
        <v>상우</v>
      </c>
      <c r="F21" s="3">
        <v>8</v>
      </c>
      <c r="G21" t="str">
        <v>sangwoo</v>
      </c>
      <c r="H21" t="str">
        <f t="shared" si="0"/>
        <v>codethat</v>
      </c>
    </row>
    <row r="24" spans="1:8" ht="17.5" customHeight="1" x14ac:dyDescent="0.45">
      <c r="C24" s="5" t="s">
        <v>82</v>
      </c>
      <c r="D24" s="5"/>
      <c r="E24" s="5"/>
    </row>
    <row r="25" spans="1:8" x14ac:dyDescent="0.45">
      <c r="C25" s="5"/>
      <c r="D25" s="5"/>
      <c r="E25" s="5"/>
    </row>
    <row r="26" spans="1:8" x14ac:dyDescent="0.45">
      <c r="C26" s="5"/>
      <c r="D26" s="5"/>
      <c r="E26" s="5"/>
    </row>
    <row r="27" spans="1:8" x14ac:dyDescent="0.45">
      <c r="C27" s="5"/>
      <c r="D27" s="5"/>
      <c r="E27" s="5"/>
    </row>
    <row r="28" spans="1:8" x14ac:dyDescent="0.45">
      <c r="C28" s="5"/>
      <c r="D28" s="5"/>
      <c r="E28" s="5"/>
    </row>
    <row r="29" spans="1:8" x14ac:dyDescent="0.45">
      <c r="C29" s="5"/>
      <c r="D29" s="5"/>
      <c r="E29" s="5"/>
    </row>
    <row r="30" spans="1:8" x14ac:dyDescent="0.45">
      <c r="C30" s="5"/>
      <c r="D30" s="5"/>
      <c r="E30" s="5"/>
    </row>
    <row r="31" spans="1:8" x14ac:dyDescent="0.45">
      <c r="C31" s="5"/>
      <c r="D31" s="5"/>
      <c r="E31" s="5"/>
    </row>
    <row r="32" spans="1:8" x14ac:dyDescent="0.45">
      <c r="C32" s="5"/>
      <c r="D32" s="5"/>
      <c r="E32" s="5"/>
    </row>
    <row r="33" spans="3:5" x14ac:dyDescent="0.45">
      <c r="C33" s="5"/>
      <c r="D33" s="5"/>
      <c r="E33" s="5"/>
    </row>
    <row r="34" spans="3:5" x14ac:dyDescent="0.45">
      <c r="C34" s="5"/>
      <c r="D34" s="5"/>
      <c r="E34" s="5"/>
    </row>
    <row r="35" spans="3:5" x14ac:dyDescent="0.45">
      <c r="C35" s="5"/>
      <c r="D35" s="5"/>
      <c r="E35" s="5"/>
    </row>
  </sheetData>
  <mergeCells count="1">
    <mergeCell ref="C24:E3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4C90C-C88B-4475-BE84-DB71E20F74D0}">
  <dimension ref="A1:G33"/>
  <sheetViews>
    <sheetView workbookViewId="0">
      <selection activeCell="L7" sqref="L7"/>
    </sheetView>
  </sheetViews>
  <sheetFormatPr defaultRowHeight="17.5" x14ac:dyDescent="0.45"/>
  <cols>
    <col min="2" max="2" width="15.69140625" bestFit="1" customWidth="1"/>
    <col min="3" max="3" width="24.3046875" bestFit="1" customWidth="1"/>
    <col min="4" max="4" width="9.23046875" hidden="1" customWidth="1"/>
    <col min="5" max="5" width="24.3046875" customWidth="1"/>
    <col min="6" max="6" width="16.53515625" customWidth="1"/>
  </cols>
  <sheetData>
    <row r="1" spans="1:7" s="4" customFormat="1" x14ac:dyDescent="0.45">
      <c r="A1" s="4" t="s">
        <v>0</v>
      </c>
      <c r="B1" s="4" t="s">
        <v>23</v>
      </c>
      <c r="C1" s="4" t="s">
        <v>24</v>
      </c>
      <c r="E1" s="4" t="s">
        <v>77</v>
      </c>
      <c r="F1" s="4" t="s">
        <v>78</v>
      </c>
      <c r="G1" s="4" t="s">
        <v>80</v>
      </c>
    </row>
    <row r="2" spans="1:7" x14ac:dyDescent="0.45">
      <c r="A2" t="s">
        <v>5</v>
      </c>
      <c r="B2" t="s">
        <v>64</v>
      </c>
      <c r="C2" s="2" t="s">
        <v>71</v>
      </c>
      <c r="E2" t="str" cm="1">
        <f t="array" ref="E2:E21">REPLACE(C2:C21,FIND("@",C2:C21)+1,8,"codethis")</f>
        <v>jihoon@codethis.com</v>
      </c>
      <c r="F2" t="str" cm="1">
        <f t="array" ref="F2:F21">TRIM(A2:A21)</f>
        <v>김지훈</v>
      </c>
      <c r="G2">
        <f>LEN(B2)</f>
        <v>10</v>
      </c>
    </row>
    <row r="3" spans="1:7" x14ac:dyDescent="0.45">
      <c r="A3" t="s">
        <v>7</v>
      </c>
      <c r="B3" t="s">
        <v>28</v>
      </c>
      <c r="C3" t="s">
        <v>29</v>
      </c>
      <c r="E3" t="str">
        <v>minseo@codethis.com</v>
      </c>
      <c r="F3" t="str">
        <v>이민서</v>
      </c>
      <c r="G3">
        <f t="shared" ref="G3:G21" si="0">LEN(B3)</f>
        <v>10</v>
      </c>
    </row>
    <row r="4" spans="1:7" x14ac:dyDescent="0.45">
      <c r="A4" t="s">
        <v>8</v>
      </c>
      <c r="B4" t="s">
        <v>30</v>
      </c>
      <c r="C4" t="s">
        <v>31</v>
      </c>
      <c r="E4" t="str">
        <v>junho@codethis.com</v>
      </c>
      <c r="F4" t="str">
        <v>박준호</v>
      </c>
      <c r="G4">
        <f t="shared" si="0"/>
        <v>10</v>
      </c>
    </row>
    <row r="5" spans="1:7" x14ac:dyDescent="0.45">
      <c r="A5" t="s">
        <v>6</v>
      </c>
      <c r="B5" t="s">
        <v>32</v>
      </c>
      <c r="C5" t="s">
        <v>33</v>
      </c>
      <c r="E5" t="str">
        <v>yerin@codethis.com</v>
      </c>
      <c r="F5" t="str">
        <v>한예린</v>
      </c>
      <c r="G5">
        <f t="shared" si="0"/>
        <v>9</v>
      </c>
    </row>
    <row r="6" spans="1:7" x14ac:dyDescent="0.45">
      <c r="A6" t="s">
        <v>9</v>
      </c>
      <c r="B6" t="s">
        <v>34</v>
      </c>
      <c r="C6" t="s">
        <v>35</v>
      </c>
      <c r="E6" t="str">
        <v>seunghyun@codethis.com</v>
      </c>
      <c r="F6" t="str">
        <v>최승현</v>
      </c>
      <c r="G6">
        <f t="shared" si="0"/>
        <v>14</v>
      </c>
    </row>
    <row r="7" spans="1:7" x14ac:dyDescent="0.45">
      <c r="A7" t="s">
        <v>11</v>
      </c>
      <c r="B7" t="s">
        <v>36</v>
      </c>
      <c r="C7" t="s">
        <v>37</v>
      </c>
      <c r="E7" t="str">
        <v>sujin@codethis.com</v>
      </c>
      <c r="F7" t="str">
        <v>강수진</v>
      </c>
      <c r="G7">
        <f t="shared" si="0"/>
        <v>10</v>
      </c>
    </row>
    <row r="8" spans="1:7" x14ac:dyDescent="0.45">
      <c r="A8" t="s">
        <v>12</v>
      </c>
      <c r="B8" t="s">
        <v>38</v>
      </c>
      <c r="C8" t="s">
        <v>39</v>
      </c>
      <c r="E8" t="str">
        <v>woojin@codethis.com</v>
      </c>
      <c r="F8" t="str">
        <v>장우진</v>
      </c>
      <c r="G8">
        <f t="shared" si="0"/>
        <v>11</v>
      </c>
    </row>
    <row r="9" spans="1:7" x14ac:dyDescent="0.45">
      <c r="A9" t="s">
        <v>17</v>
      </c>
      <c r="B9" t="s">
        <v>40</v>
      </c>
      <c r="C9" t="s">
        <v>41</v>
      </c>
      <c r="E9" t="str">
        <v>haeun@codethis.com</v>
      </c>
      <c r="F9" t="str">
        <v>김하은</v>
      </c>
      <c r="G9">
        <f t="shared" si="0"/>
        <v>9</v>
      </c>
    </row>
    <row r="10" spans="1:7" x14ac:dyDescent="0.45">
      <c r="A10" t="s">
        <v>18</v>
      </c>
      <c r="B10" t="s">
        <v>42</v>
      </c>
      <c r="C10" t="s">
        <v>43</v>
      </c>
      <c r="E10" t="str">
        <v>dohyun@codethis.com</v>
      </c>
      <c r="F10" t="str">
        <v>박도현</v>
      </c>
      <c r="G10">
        <f t="shared" si="0"/>
        <v>11</v>
      </c>
    </row>
    <row r="11" spans="1:7" x14ac:dyDescent="0.45">
      <c r="A11" t="s">
        <v>19</v>
      </c>
      <c r="B11" t="s">
        <v>44</v>
      </c>
      <c r="C11" t="s">
        <v>45</v>
      </c>
      <c r="E11" t="str">
        <v>sua@codethis.com</v>
      </c>
      <c r="F11" t="str">
        <v>이수아</v>
      </c>
      <c r="G11">
        <f t="shared" si="0"/>
        <v>7</v>
      </c>
    </row>
    <row r="12" spans="1:7" x14ac:dyDescent="0.45">
      <c r="A12" t="s">
        <v>20</v>
      </c>
      <c r="B12" t="s">
        <v>46</v>
      </c>
      <c r="C12" t="s">
        <v>47</v>
      </c>
      <c r="E12" t="str">
        <v>jaehyuk@codethis.com</v>
      </c>
      <c r="F12" t="str">
        <v>윤재혁</v>
      </c>
      <c r="G12">
        <f t="shared" si="0"/>
        <v>12</v>
      </c>
    </row>
    <row r="13" spans="1:7" x14ac:dyDescent="0.45">
      <c r="A13" t="s">
        <v>1</v>
      </c>
      <c r="B13" t="s">
        <v>21</v>
      </c>
      <c r="C13" t="s">
        <v>25</v>
      </c>
      <c r="E13" t="str">
        <v>jeemin@codethis.com</v>
      </c>
      <c r="F13" t="str">
        <v>한지민</v>
      </c>
      <c r="G13">
        <f t="shared" si="0"/>
        <v>10</v>
      </c>
    </row>
    <row r="14" spans="1:7" x14ac:dyDescent="0.45">
      <c r="A14" t="s">
        <v>2</v>
      </c>
      <c r="B14" t="s">
        <v>22</v>
      </c>
      <c r="C14" t="s">
        <v>26</v>
      </c>
      <c r="E14" t="str">
        <v>hyejin@codethis.com</v>
      </c>
      <c r="F14" t="str">
        <v>박혜진</v>
      </c>
      <c r="G14">
        <f t="shared" si="0"/>
        <v>11</v>
      </c>
    </row>
    <row r="15" spans="1:7" x14ac:dyDescent="0.45">
      <c r="A15" t="s">
        <v>4</v>
      </c>
      <c r="B15" t="s">
        <v>48</v>
      </c>
      <c r="C15" t="s">
        <v>49</v>
      </c>
      <c r="E15" t="str">
        <v>donghyun@codethis.com</v>
      </c>
      <c r="F15" t="str">
        <v>임동현</v>
      </c>
      <c r="G15">
        <f t="shared" si="0"/>
        <v>12</v>
      </c>
    </row>
    <row r="16" spans="1:7" x14ac:dyDescent="0.45">
      <c r="A16" t="s">
        <v>3</v>
      </c>
      <c r="B16" t="s">
        <v>50</v>
      </c>
      <c r="C16" t="s">
        <v>51</v>
      </c>
      <c r="E16" t="str">
        <v>yoojung@codethis.com</v>
      </c>
      <c r="F16" t="str">
        <v>최유정</v>
      </c>
      <c r="G16">
        <f t="shared" si="0"/>
        <v>12</v>
      </c>
    </row>
    <row r="17" spans="1:7" x14ac:dyDescent="0.45">
      <c r="A17" t="s">
        <v>13</v>
      </c>
      <c r="B17" t="s">
        <v>52</v>
      </c>
      <c r="C17" t="s">
        <v>53</v>
      </c>
      <c r="E17" t="str">
        <v>seungwon@codethis.com</v>
      </c>
      <c r="F17" t="str">
        <v>정승원</v>
      </c>
      <c r="G17">
        <f t="shared" si="0"/>
        <v>13</v>
      </c>
    </row>
    <row r="18" spans="1:7" x14ac:dyDescent="0.45">
      <c r="A18" t="s">
        <v>14</v>
      </c>
      <c r="B18" t="s">
        <v>54</v>
      </c>
      <c r="C18" s="2" t="s">
        <v>72</v>
      </c>
      <c r="E18" t="str">
        <v>seyeon@codethis.com</v>
      </c>
      <c r="F18" t="str">
        <v>박세연</v>
      </c>
      <c r="G18">
        <f t="shared" si="0"/>
        <v>11</v>
      </c>
    </row>
    <row r="19" spans="1:7" x14ac:dyDescent="0.45">
      <c r="A19" t="s">
        <v>15</v>
      </c>
      <c r="B19" t="s">
        <v>56</v>
      </c>
      <c r="C19" t="s">
        <v>57</v>
      </c>
      <c r="E19" t="str">
        <v>junseo@codethis.com</v>
      </c>
      <c r="F19" t="str">
        <v>이준서</v>
      </c>
      <c r="G19">
        <f t="shared" si="0"/>
        <v>10</v>
      </c>
    </row>
    <row r="20" spans="1:7" x14ac:dyDescent="0.45">
      <c r="A20" t="s">
        <v>16</v>
      </c>
      <c r="B20" t="s">
        <v>58</v>
      </c>
      <c r="C20" t="s">
        <v>59</v>
      </c>
      <c r="E20" t="str">
        <v>jia@codethis.com</v>
      </c>
      <c r="F20" t="str">
        <v>송지아</v>
      </c>
      <c r="G20">
        <f t="shared" si="0"/>
        <v>8</v>
      </c>
    </row>
    <row r="21" spans="1:7" x14ac:dyDescent="0.45">
      <c r="A21" t="s">
        <v>10</v>
      </c>
      <c r="B21" t="s">
        <v>60</v>
      </c>
      <c r="C21" t="s">
        <v>61</v>
      </c>
      <c r="E21" t="str">
        <v>sangwoo@codethis.com</v>
      </c>
      <c r="F21" t="str">
        <v>한상우</v>
      </c>
      <c r="G21">
        <f t="shared" si="0"/>
        <v>11</v>
      </c>
    </row>
    <row r="23" spans="1:7" ht="17.5" customHeight="1" x14ac:dyDescent="0.45">
      <c r="A23" s="7" t="s">
        <v>79</v>
      </c>
      <c r="B23" s="5"/>
      <c r="C23" s="5"/>
      <c r="D23" s="5"/>
      <c r="E23" s="5"/>
    </row>
    <row r="24" spans="1:7" x14ac:dyDescent="0.45">
      <c r="A24" s="5"/>
      <c r="B24" s="5"/>
      <c r="C24" s="5"/>
      <c r="D24" s="5"/>
      <c r="E24" s="5"/>
    </row>
    <row r="25" spans="1:7" x14ac:dyDescent="0.45">
      <c r="A25" s="5"/>
      <c r="B25" s="5"/>
      <c r="C25" s="5"/>
      <c r="D25" s="5"/>
      <c r="E25" s="5"/>
    </row>
    <row r="26" spans="1:7" x14ac:dyDescent="0.45">
      <c r="A26" s="5"/>
      <c r="B26" s="5"/>
      <c r="C26" s="5"/>
      <c r="D26" s="5"/>
      <c r="E26" s="5"/>
    </row>
    <row r="27" spans="1:7" x14ac:dyDescent="0.45">
      <c r="A27" s="5"/>
      <c r="B27" s="5"/>
      <c r="C27" s="5"/>
      <c r="D27" s="5"/>
      <c r="E27" s="5"/>
    </row>
    <row r="28" spans="1:7" x14ac:dyDescent="0.45">
      <c r="A28" s="5"/>
      <c r="B28" s="5"/>
      <c r="C28" s="5"/>
      <c r="D28" s="5"/>
      <c r="E28" s="5"/>
    </row>
    <row r="29" spans="1:7" x14ac:dyDescent="0.45">
      <c r="A29" s="5"/>
      <c r="B29" s="5"/>
      <c r="C29" s="5"/>
      <c r="D29" s="5"/>
      <c r="E29" s="5"/>
    </row>
    <row r="30" spans="1:7" x14ac:dyDescent="0.45">
      <c r="A30" s="5"/>
      <c r="B30" s="5"/>
      <c r="C30" s="5"/>
      <c r="D30" s="5"/>
      <c r="E30" s="5"/>
    </row>
    <row r="31" spans="1:7" x14ac:dyDescent="0.45">
      <c r="A31" s="5"/>
      <c r="B31" s="5"/>
      <c r="C31" s="5"/>
      <c r="D31" s="5"/>
      <c r="E31" s="5"/>
    </row>
    <row r="32" spans="1:7" x14ac:dyDescent="0.45">
      <c r="A32" s="5"/>
      <c r="B32" s="5"/>
      <c r="C32" s="5"/>
      <c r="D32" s="5"/>
      <c r="E32" s="5"/>
    </row>
    <row r="33" spans="1:5" x14ac:dyDescent="0.45">
      <c r="A33" s="5"/>
      <c r="B33" s="5"/>
      <c r="C33" s="5"/>
      <c r="D33" s="5"/>
      <c r="E33" s="5"/>
    </row>
  </sheetData>
  <mergeCells count="1">
    <mergeCell ref="A23:E33"/>
  </mergeCells>
  <phoneticPr fontId="2" type="noConversion"/>
  <hyperlinks>
    <hyperlink ref="C2" r:id="rId1" xr:uid="{7861CA70-D1BC-4F42-AE6E-C6087C1124B1}"/>
    <hyperlink ref="C18" r:id="rId2" xr:uid="{AF5F8528-DC09-41FE-845A-812764208F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텍스트1</vt:lpstr>
      <vt:lpstr>텍스트2</vt:lpstr>
      <vt:lpstr>텍스트3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 Cecile</dc:creator>
  <cp:lastModifiedBy>수현 변</cp:lastModifiedBy>
  <dcterms:created xsi:type="dcterms:W3CDTF">2025-03-20T04:37:38Z</dcterms:created>
  <dcterms:modified xsi:type="dcterms:W3CDTF">2026-01-15T07:40:03Z</dcterms:modified>
</cp:coreProperties>
</file>