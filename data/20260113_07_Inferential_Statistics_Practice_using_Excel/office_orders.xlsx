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9AE2F4F8-13AC-4240-9151-CDB00EBB2D50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직원정보" sheetId="2" r:id="rId1"/>
    <sheet name="복지몰 구매내역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" i="1"/>
</calcChain>
</file>

<file path=xl/sharedStrings.xml><?xml version="1.0" encoding="utf-8"?>
<sst xmlns="http://schemas.openxmlformats.org/spreadsheetml/2006/main" count="284" uniqueCount="156">
  <si>
    <t>직원 이름</t>
  </si>
  <si>
    <t>구매 일시</t>
  </si>
  <si>
    <t>상품명</t>
  </si>
  <si>
    <t>수량</t>
  </si>
  <si>
    <t>한지민</t>
  </si>
  <si>
    <t>박혜진</t>
  </si>
  <si>
    <t>최유정</t>
  </si>
  <si>
    <t>임동현</t>
  </si>
  <si>
    <t>김지훈</t>
  </si>
  <si>
    <t>한예린</t>
  </si>
  <si>
    <t>이민서</t>
  </si>
  <si>
    <t>박준호</t>
  </si>
  <si>
    <t>최승현</t>
  </si>
  <si>
    <t>한상우</t>
  </si>
  <si>
    <t>강수진</t>
  </si>
  <si>
    <t>장우진</t>
  </si>
  <si>
    <t>정승원</t>
  </si>
  <si>
    <t>박세연</t>
  </si>
  <si>
    <t>이준서</t>
  </si>
  <si>
    <t>송지아</t>
  </si>
  <si>
    <t>김하은</t>
  </si>
  <si>
    <t>박도현</t>
  </si>
  <si>
    <t>이수아</t>
  </si>
  <si>
    <t>윤재혁</t>
  </si>
  <si>
    <t>2024-03-20 08:04</t>
  </si>
  <si>
    <t>2024-02-18 19:18</t>
  </si>
  <si>
    <t>2024-03-25 16:31</t>
  </si>
  <si>
    <t>2024-02-28 06:16</t>
  </si>
  <si>
    <t>2024-02-27 19:41</t>
  </si>
  <si>
    <t>2024-01-22 07:06</t>
  </si>
  <si>
    <t>2024-02-24 17:47</t>
  </si>
  <si>
    <t>2024-02-06 05:55</t>
  </si>
  <si>
    <t>2024-01-06 08:55</t>
  </si>
  <si>
    <t>2024-02-25 15:27</t>
  </si>
  <si>
    <t>2024-01-11 19:54</t>
  </si>
  <si>
    <t>2024-01-28 18:41</t>
  </si>
  <si>
    <t>2024-01-18 14:32</t>
  </si>
  <si>
    <t>2024-02-08 19:44</t>
  </si>
  <si>
    <t>2024-02-25 21:35</t>
  </si>
  <si>
    <t>2024-02-07 13:07</t>
  </si>
  <si>
    <t>2024-03-06 19:46</t>
  </si>
  <si>
    <t>2024-01-01 13:38</t>
  </si>
  <si>
    <t>2024-03-08 04:08</t>
  </si>
  <si>
    <t>2024-01-19 02:55</t>
  </si>
  <si>
    <t>2024-03-28 22:04</t>
  </si>
  <si>
    <t>2024-03-02 12:56</t>
  </si>
  <si>
    <t>2024-01-15 10:08</t>
  </si>
  <si>
    <t>2024-02-19 09:48</t>
  </si>
  <si>
    <t>2024-01-24 19:27</t>
  </si>
  <si>
    <t>2024-03-22 19:12</t>
  </si>
  <si>
    <t>2024-02-15 19:59</t>
  </si>
  <si>
    <t>2024-02-13 14:21</t>
  </si>
  <si>
    <t>2024-01-16 22:15</t>
  </si>
  <si>
    <t>2024-01-12 06:24</t>
  </si>
  <si>
    <t>2024-01-31 18:01</t>
  </si>
  <si>
    <t>2024-01-27 10:42</t>
  </si>
  <si>
    <t>2024-03-14 16:51</t>
  </si>
  <si>
    <t>2024-03-28 09:09</t>
  </si>
  <si>
    <t>2024-01-10 07:50</t>
  </si>
  <si>
    <t>2024-01-23 15:36</t>
  </si>
  <si>
    <t>2024-03-17 07:25</t>
  </si>
  <si>
    <t>2024-03-17 01:26</t>
  </si>
  <si>
    <t>2024-03-15 22:17</t>
  </si>
  <si>
    <t>2024-02-21 13:34</t>
  </si>
  <si>
    <t>2024-01-13 18:36</t>
  </si>
  <si>
    <t>2024-02-07 12:22</t>
  </si>
  <si>
    <t>2024-03-13 00:11</t>
  </si>
  <si>
    <t>2024-01-03 12:30</t>
  </si>
  <si>
    <t>2024-01-16 04:45</t>
  </si>
  <si>
    <t>2024-03-06 16:06</t>
  </si>
  <si>
    <t>2024-01-10 05:04</t>
  </si>
  <si>
    <t>2024-03-27 05:14</t>
  </si>
  <si>
    <t>2024-02-19 17:51</t>
  </si>
  <si>
    <t>2024-01-31 18:12</t>
  </si>
  <si>
    <t>2024-02-16 14:35</t>
  </si>
  <si>
    <t>2024-02-19 10:45</t>
  </si>
  <si>
    <t>2024-03-19 09:47</t>
  </si>
  <si>
    <t>2024-02-13 04:09</t>
  </si>
  <si>
    <t>클렌징오일</t>
  </si>
  <si>
    <t>립밤</t>
  </si>
  <si>
    <t>수분크림</t>
  </si>
  <si>
    <t>에센스</t>
  </si>
  <si>
    <t>마스카라</t>
  </si>
  <si>
    <t>스킨로션</t>
  </si>
  <si>
    <t>토너</t>
  </si>
  <si>
    <t>헤어에센스</t>
  </si>
  <si>
    <t>팩트</t>
  </si>
  <si>
    <t>폼클렌저</t>
  </si>
  <si>
    <t>립스틱</t>
  </si>
  <si>
    <t>립틴트</t>
  </si>
  <si>
    <t>바디로션</t>
  </si>
  <si>
    <t>선크림</t>
  </si>
  <si>
    <t>아이섀도우</t>
  </si>
  <si>
    <t>직원 이름</t>
    <phoneticPr fontId="7" type="noConversion"/>
  </si>
  <si>
    <t>전화번호</t>
  </si>
  <si>
    <t>나이</t>
  </si>
  <si>
    <t>입사 일자</t>
  </si>
  <si>
    <t>팀</t>
  </si>
  <si>
    <t>직위</t>
  </si>
  <si>
    <t>직책</t>
  </si>
  <si>
    <t>연봉(만원)</t>
    <phoneticPr fontId="7" type="noConversion"/>
  </si>
  <si>
    <t>서울특별시 서대문구 신촌동 33</t>
  </si>
  <si>
    <t>010-2222-3333</t>
  </si>
  <si>
    <t>마케팅팀</t>
  </si>
  <si>
    <t>차장</t>
  </si>
  <si>
    <t>팀장</t>
  </si>
  <si>
    <t>서울특별시 성동구 성수동 77</t>
  </si>
  <si>
    <t>010-3333-4444</t>
  </si>
  <si>
    <t>과장</t>
  </si>
  <si>
    <t>서울특별시 강북구 수유동 51</t>
  </si>
  <si>
    <t>010-5555-6666</t>
  </si>
  <si>
    <t>대리</t>
  </si>
  <si>
    <t>경기도 고양시 일산동구 백석동 21</t>
  </si>
  <si>
    <t>010-4444-5555</t>
  </si>
  <si>
    <t>사원</t>
  </si>
  <si>
    <t>서울특별시 강남구 논현동 15</t>
  </si>
  <si>
    <t>010-1234-5678</t>
  </si>
  <si>
    <t>영업팀</t>
  </si>
  <si>
    <t>부장</t>
  </si>
  <si>
    <t>서울특별시 서초구 반포동 88</t>
  </si>
  <si>
    <t>010-4567-8901</t>
  </si>
  <si>
    <t>서울특별시 송파구 잠실동 20</t>
  </si>
  <si>
    <t>010-2345-6789</t>
  </si>
  <si>
    <t>경기도 성남시 분당구 정자동 7</t>
  </si>
  <si>
    <t>010-3456-7890</t>
  </si>
  <si>
    <t>서울특별시 중구 을지로 25</t>
  </si>
  <si>
    <t>010-5678-9012</t>
  </si>
  <si>
    <t>기획팀</t>
  </si>
  <si>
    <t>경기도 용인시 기흥구 구성동 10</t>
  </si>
  <si>
    <t>010-0000-1111</t>
  </si>
  <si>
    <t>경기도 수원시 영통구 영통동 99</t>
  </si>
  <si>
    <t>010-6789-0123</t>
  </si>
  <si>
    <t>서울특별시 마포구 상암동 55</t>
  </si>
  <si>
    <t>010-7890-1234</t>
  </si>
  <si>
    <t>서울특별시 양천구 목동 5</t>
  </si>
  <si>
    <t>010-6666-7777</t>
  </si>
  <si>
    <t>연구팀</t>
  </si>
  <si>
    <t>경기도 화성시 동탄동 60</t>
  </si>
  <si>
    <t>010-7777-8888</t>
  </si>
  <si>
    <t>서울특별시 영등포구 여의도동 1</t>
  </si>
  <si>
    <t>010-8888-9999</t>
  </si>
  <si>
    <t>서울특별시 은평구 응암동 3</t>
  </si>
  <si>
    <t>010-9999-0000</t>
  </si>
  <si>
    <t>서울특별시 관악구 신림동 44</t>
  </si>
  <si>
    <t>010-8901-2345</t>
  </si>
  <si>
    <t>개발팀</t>
  </si>
  <si>
    <t>서울특별시 용산구 한남동 101</t>
  </si>
  <si>
    <t>010-9012-3456</t>
  </si>
  <si>
    <t>경기도 안양시 동안구 평촌동 8</t>
  </si>
  <si>
    <t>010-0123-4567</t>
  </si>
  <si>
    <t>서울특별시 강서구 화곡동 12</t>
  </si>
  <si>
    <t>010-1111-2222</t>
  </si>
  <si>
    <t>주소</t>
    <phoneticPr fontId="5" type="noConversion"/>
  </si>
  <si>
    <r>
      <rPr>
        <b/>
        <sz val="11"/>
        <color theme="1"/>
        <rFont val="맑은 고딕"/>
        <family val="3"/>
        <charset val="129"/>
        <scheme val="minor"/>
      </rPr>
      <t>VLOOKUP(조회 대상, 탐색 범위, 조회할 값이 포함된 열 번호, 검사 기준)</t>
    </r>
    <r>
      <rPr>
        <sz val="11"/>
        <color theme="1"/>
        <rFont val="맑은 고딕"/>
        <family val="2"/>
        <scheme val="minor"/>
      </rPr>
      <t xml:space="preserve">
:다른 테이블에 있는 정보를 가져와 연결해주는 함수
탐색 범위: '시트명'!절대참조
검사 기준: TRUE: 유사 일치 / FALSE: 정확히 일치 
</t>
    </r>
    <r>
      <rPr>
        <b/>
        <sz val="11"/>
        <color theme="1"/>
        <rFont val="맑은 고딕"/>
        <family val="3"/>
        <charset val="129"/>
        <scheme val="minor"/>
      </rPr>
      <t xml:space="preserve">MATCH(찾는 대상, 탐색 범위, 검사 기준)
</t>
    </r>
    <r>
      <rPr>
        <sz val="11"/>
        <color theme="1"/>
        <rFont val="맑은 고딕"/>
        <family val="3"/>
        <charset val="129"/>
        <scheme val="minor"/>
      </rPr>
      <t xml:space="preserve">=MATCH(E1,'직원 정보!A1:I1,0)
검사 기준: -1: 찾는 대상보다 크거나 같은 값 중 최솟값을 반환/
                0: 정확히 일치하는 값을 반환
                1: 찾는 대상보다 작거나 같은 값 중 최댓값을 반환
</t>
    </r>
    <r>
      <rPr>
        <sz val="11"/>
        <color theme="1"/>
        <rFont val="맑은 고딕"/>
        <family val="2"/>
        <scheme val="minor"/>
      </rPr>
      <t xml:space="preserve">
</t>
    </r>
    <phoneticPr fontId="5" type="noConversion"/>
  </si>
  <si>
    <t>전화번호</t>
    <phoneticPr fontId="5" type="noConversion"/>
  </si>
  <si>
    <t>=VLOOKUP(A2,'직원 정보'!$A$1:$I$21,MATCH('복지몰 구매내역'!F1,'직원정보'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</si>
</sst>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_);[Red]\(&quot;₩&quot;#,##0\)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4" fillId="0" borderId="0" xfId="1" applyFont="1" applyAlignment="1">
      <alignment horizontal="center" vertical="top"/>
    </xf>
    <xf numFmtId="0" fontId="3" fillId="0" borderId="0" xfId="1"/>
    <xf numFmtId="49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77" fontId="6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2" fillId="0" borderId="0" xfId="1" applyFont="1" applyAlignment="1">
      <alignment horizontal="center" vertical="top"/>
    </xf>
    <xf numFmtId="0" fontId="0" fillId="2" borderId="0" xfId="0" applyFill="1"/>
    <xf numFmtId="0" fontId="1" fillId="0" borderId="0" xfId="1" applyFont="1" applyAlignment="1">
      <alignment horizontal="center" vertical="top"/>
    </xf>
    <xf numFmtId="0" fontId="9" fillId="2" borderId="0" xfId="0" applyFont="1" applyFill="1" applyAlignment="1">
      <alignment wrapText="1"/>
    </xf>
  </cellXfs>
  <cellStyles count="2">
    <cellStyle name="표준" xfId="0" builtinId="0"/>
    <cellStyle name="표준 2" xfId="1" xr:uid="{26D6612A-E495-1D43-859E-E7E05A1B46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CD3F-3C1D-4316-B814-FB6C8757E2CE}">
  <dimension ref="A1:I21"/>
  <sheetViews>
    <sheetView topLeftCell="C1" workbookViewId="0">
      <selection sqref="A1:I21"/>
    </sheetView>
  </sheetViews>
  <sheetFormatPr defaultRowHeight="17" x14ac:dyDescent="0.45"/>
  <cols>
    <col min="1" max="1" width="10" bestFit="1" customWidth="1"/>
    <col min="2" max="2" width="31.08203125" bestFit="1" customWidth="1"/>
    <col min="3" max="3" width="13.9140625" bestFit="1" customWidth="1"/>
    <col min="5" max="5" width="10.75" bestFit="1" customWidth="1"/>
  </cols>
  <sheetData>
    <row r="1" spans="1:9" ht="17.5" x14ac:dyDescent="0.45">
      <c r="A1" s="3" t="s">
        <v>93</v>
      </c>
      <c r="B1" s="3" t="s">
        <v>152</v>
      </c>
      <c r="C1" s="3" t="s">
        <v>94</v>
      </c>
      <c r="D1" s="4" t="s">
        <v>95</v>
      </c>
      <c r="E1" s="5" t="s">
        <v>96</v>
      </c>
      <c r="F1" s="3" t="s">
        <v>97</v>
      </c>
      <c r="G1" s="3" t="s">
        <v>98</v>
      </c>
      <c r="H1" s="3" t="s">
        <v>99</v>
      </c>
      <c r="I1" s="6" t="s">
        <v>100</v>
      </c>
    </row>
    <row r="2" spans="1:9" x14ac:dyDescent="0.45">
      <c r="A2" s="7" t="s">
        <v>4</v>
      </c>
      <c r="B2" s="7" t="s">
        <v>101</v>
      </c>
      <c r="C2" s="7" t="s">
        <v>102</v>
      </c>
      <c r="D2" s="8">
        <v>44</v>
      </c>
      <c r="E2" s="9">
        <v>40073</v>
      </c>
      <c r="F2" s="7" t="s">
        <v>103</v>
      </c>
      <c r="G2" s="7" t="s">
        <v>104</v>
      </c>
      <c r="H2" s="7" t="s">
        <v>105</v>
      </c>
      <c r="I2" s="10">
        <v>11500</v>
      </c>
    </row>
    <row r="3" spans="1:9" x14ac:dyDescent="0.45">
      <c r="A3" s="7" t="s">
        <v>5</v>
      </c>
      <c r="B3" s="7" t="s">
        <v>106</v>
      </c>
      <c r="C3" s="7" t="s">
        <v>107</v>
      </c>
      <c r="D3" s="8">
        <v>38</v>
      </c>
      <c r="E3" s="9">
        <v>41430</v>
      </c>
      <c r="F3" s="7" t="s">
        <v>103</v>
      </c>
      <c r="G3" s="7" t="s">
        <v>108</v>
      </c>
      <c r="H3" s="7"/>
      <c r="I3" s="10">
        <v>6700</v>
      </c>
    </row>
    <row r="4" spans="1:9" x14ac:dyDescent="0.45">
      <c r="A4" s="7" t="s">
        <v>6</v>
      </c>
      <c r="B4" s="7" t="s">
        <v>109</v>
      </c>
      <c r="C4" s="7" t="s">
        <v>110</v>
      </c>
      <c r="D4" s="8">
        <v>29</v>
      </c>
      <c r="E4" s="9">
        <v>44027</v>
      </c>
      <c r="F4" s="7" t="s">
        <v>103</v>
      </c>
      <c r="G4" s="7" t="s">
        <v>111</v>
      </c>
      <c r="H4" s="7"/>
      <c r="I4" s="10">
        <v>4900</v>
      </c>
    </row>
    <row r="5" spans="1:9" x14ac:dyDescent="0.45">
      <c r="A5" s="7" t="s">
        <v>7</v>
      </c>
      <c r="B5" s="7" t="s">
        <v>112</v>
      </c>
      <c r="C5" s="7" t="s">
        <v>113</v>
      </c>
      <c r="D5" s="8">
        <v>26</v>
      </c>
      <c r="E5" s="9">
        <v>44613</v>
      </c>
      <c r="F5" s="7" t="s">
        <v>103</v>
      </c>
      <c r="G5" s="7" t="s">
        <v>114</v>
      </c>
      <c r="H5" s="7"/>
      <c r="I5" s="10">
        <v>3400</v>
      </c>
    </row>
    <row r="6" spans="1:9" x14ac:dyDescent="0.45">
      <c r="A6" s="7" t="s">
        <v>8</v>
      </c>
      <c r="B6" s="7" t="s">
        <v>115</v>
      </c>
      <c r="C6" s="7" t="s">
        <v>116</v>
      </c>
      <c r="D6" s="8">
        <v>48</v>
      </c>
      <c r="E6" s="9">
        <v>38426</v>
      </c>
      <c r="F6" s="7" t="s">
        <v>117</v>
      </c>
      <c r="G6" s="7" t="s">
        <v>118</v>
      </c>
      <c r="H6" s="7" t="s">
        <v>105</v>
      </c>
      <c r="I6" s="10">
        <v>12000</v>
      </c>
    </row>
    <row r="7" spans="1:9" x14ac:dyDescent="0.45">
      <c r="A7" s="7" t="s">
        <v>9</v>
      </c>
      <c r="B7" s="7" t="s">
        <v>119</v>
      </c>
      <c r="C7" s="7" t="s">
        <v>120</v>
      </c>
      <c r="D7" s="8">
        <v>36</v>
      </c>
      <c r="E7" s="9">
        <v>41905</v>
      </c>
      <c r="F7" s="7" t="s">
        <v>117</v>
      </c>
      <c r="G7" s="7" t="s">
        <v>108</v>
      </c>
      <c r="H7" s="7"/>
      <c r="I7" s="10">
        <v>6000</v>
      </c>
    </row>
    <row r="8" spans="1:9" x14ac:dyDescent="0.45">
      <c r="A8" s="7" t="s">
        <v>10</v>
      </c>
      <c r="B8" s="7" t="s">
        <v>121</v>
      </c>
      <c r="C8" s="7" t="s">
        <v>122</v>
      </c>
      <c r="D8" s="8">
        <v>30</v>
      </c>
      <c r="E8" s="9">
        <v>43282</v>
      </c>
      <c r="F8" s="7" t="s">
        <v>117</v>
      </c>
      <c r="G8" s="7" t="s">
        <v>111</v>
      </c>
      <c r="H8" s="7"/>
      <c r="I8" s="10">
        <v>4800</v>
      </c>
    </row>
    <row r="9" spans="1:9" x14ac:dyDescent="0.45">
      <c r="A9" s="7" t="s">
        <v>11</v>
      </c>
      <c r="B9" s="7" t="s">
        <v>123</v>
      </c>
      <c r="C9" s="7" t="s">
        <v>124</v>
      </c>
      <c r="D9" s="8">
        <v>26</v>
      </c>
      <c r="E9" s="9">
        <v>44571</v>
      </c>
      <c r="F9" s="7" t="s">
        <v>117</v>
      </c>
      <c r="G9" s="7" t="s">
        <v>114</v>
      </c>
      <c r="H9" s="7"/>
      <c r="I9" s="10">
        <v>3600</v>
      </c>
    </row>
    <row r="10" spans="1:9" x14ac:dyDescent="0.45">
      <c r="A10" s="7" t="s">
        <v>12</v>
      </c>
      <c r="B10" s="7" t="s">
        <v>125</v>
      </c>
      <c r="C10" s="7" t="s">
        <v>126</v>
      </c>
      <c r="D10" s="8">
        <v>45</v>
      </c>
      <c r="E10" s="9">
        <v>39757</v>
      </c>
      <c r="F10" s="7" t="s">
        <v>127</v>
      </c>
      <c r="G10" s="7" t="s">
        <v>104</v>
      </c>
      <c r="H10" s="7" t="s">
        <v>105</v>
      </c>
      <c r="I10" s="10">
        <v>11000</v>
      </c>
    </row>
    <row r="11" spans="1:9" x14ac:dyDescent="0.45">
      <c r="A11" s="7" t="s">
        <v>13</v>
      </c>
      <c r="B11" s="7" t="s">
        <v>128</v>
      </c>
      <c r="C11" s="7" t="s">
        <v>129</v>
      </c>
      <c r="D11" s="8">
        <v>34</v>
      </c>
      <c r="E11" s="9">
        <v>42606</v>
      </c>
      <c r="F11" s="7" t="s">
        <v>127</v>
      </c>
      <c r="G11" s="7" t="s">
        <v>108</v>
      </c>
      <c r="H11" s="7"/>
      <c r="I11" s="10">
        <v>6900</v>
      </c>
    </row>
    <row r="12" spans="1:9" x14ac:dyDescent="0.45">
      <c r="A12" s="7" t="s">
        <v>14</v>
      </c>
      <c r="B12" s="7" t="s">
        <v>130</v>
      </c>
      <c r="C12" s="7" t="s">
        <v>131</v>
      </c>
      <c r="D12" s="8">
        <v>31</v>
      </c>
      <c r="E12" s="9">
        <v>43542</v>
      </c>
      <c r="F12" s="7" t="s">
        <v>127</v>
      </c>
      <c r="G12" s="7" t="s">
        <v>111</v>
      </c>
      <c r="H12" s="7"/>
      <c r="I12" s="10">
        <v>5100</v>
      </c>
    </row>
    <row r="13" spans="1:9" x14ac:dyDescent="0.45">
      <c r="A13" s="7" t="s">
        <v>15</v>
      </c>
      <c r="B13" s="7" t="s">
        <v>132</v>
      </c>
      <c r="C13" s="7" t="s">
        <v>133</v>
      </c>
      <c r="D13" s="8">
        <v>27</v>
      </c>
      <c r="E13" s="9">
        <v>44410</v>
      </c>
      <c r="F13" s="7" t="s">
        <v>127</v>
      </c>
      <c r="G13" s="7" t="s">
        <v>114</v>
      </c>
      <c r="H13" s="7"/>
      <c r="I13" s="10">
        <v>3400</v>
      </c>
    </row>
    <row r="14" spans="1:9" x14ac:dyDescent="0.45">
      <c r="A14" s="7" t="s">
        <v>16</v>
      </c>
      <c r="B14" s="7" t="s">
        <v>134</v>
      </c>
      <c r="C14" s="7" t="s">
        <v>135</v>
      </c>
      <c r="D14" s="8">
        <v>49</v>
      </c>
      <c r="E14" s="9">
        <v>37679</v>
      </c>
      <c r="F14" s="7" t="s">
        <v>136</v>
      </c>
      <c r="G14" s="7" t="s">
        <v>118</v>
      </c>
      <c r="H14" s="7" t="s">
        <v>105</v>
      </c>
      <c r="I14" s="10">
        <v>14500</v>
      </c>
    </row>
    <row r="15" spans="1:9" x14ac:dyDescent="0.45">
      <c r="A15" s="7" t="s">
        <v>17</v>
      </c>
      <c r="B15" s="7" t="s">
        <v>137</v>
      </c>
      <c r="C15" s="7" t="s">
        <v>138</v>
      </c>
      <c r="D15" s="8">
        <v>37</v>
      </c>
      <c r="E15" s="9">
        <v>41242</v>
      </c>
      <c r="F15" s="7" t="s">
        <v>136</v>
      </c>
      <c r="G15" s="7" t="s">
        <v>108</v>
      </c>
      <c r="H15" s="7"/>
      <c r="I15" s="10">
        <v>7500</v>
      </c>
    </row>
    <row r="16" spans="1:9" x14ac:dyDescent="0.45">
      <c r="A16" s="7" t="s">
        <v>18</v>
      </c>
      <c r="B16" s="7" t="s">
        <v>139</v>
      </c>
      <c r="C16" s="7" t="s">
        <v>140</v>
      </c>
      <c r="D16" s="8">
        <v>30</v>
      </c>
      <c r="E16" s="9">
        <v>43385</v>
      </c>
      <c r="F16" s="7" t="s">
        <v>136</v>
      </c>
      <c r="G16" s="7" t="s">
        <v>111</v>
      </c>
      <c r="H16" s="7"/>
      <c r="I16" s="10">
        <v>5800</v>
      </c>
    </row>
    <row r="17" spans="1:9" x14ac:dyDescent="0.45">
      <c r="A17" s="7" t="s">
        <v>19</v>
      </c>
      <c r="B17" s="7" t="s">
        <v>141</v>
      </c>
      <c r="C17" s="7" t="s">
        <v>142</v>
      </c>
      <c r="D17" s="8">
        <v>27</v>
      </c>
      <c r="E17" s="9">
        <v>44719</v>
      </c>
      <c r="F17" s="7" t="s">
        <v>136</v>
      </c>
      <c r="G17" s="7" t="s">
        <v>114</v>
      </c>
      <c r="H17" s="7"/>
      <c r="I17" s="10">
        <v>4300</v>
      </c>
    </row>
    <row r="18" spans="1:9" x14ac:dyDescent="0.45">
      <c r="A18" s="7" t="s">
        <v>20</v>
      </c>
      <c r="B18" s="7" t="s">
        <v>143</v>
      </c>
      <c r="C18" s="7" t="s">
        <v>144</v>
      </c>
      <c r="D18" s="8">
        <v>47</v>
      </c>
      <c r="E18" s="9">
        <v>38127</v>
      </c>
      <c r="F18" s="7" t="s">
        <v>145</v>
      </c>
      <c r="G18" s="7" t="s">
        <v>118</v>
      </c>
      <c r="H18" s="7" t="s">
        <v>105</v>
      </c>
      <c r="I18" s="10">
        <v>14000</v>
      </c>
    </row>
    <row r="19" spans="1:9" x14ac:dyDescent="0.45">
      <c r="A19" s="7" t="s">
        <v>21</v>
      </c>
      <c r="B19" s="7" t="s">
        <v>146</v>
      </c>
      <c r="C19" s="7" t="s">
        <v>147</v>
      </c>
      <c r="D19" s="8">
        <v>35</v>
      </c>
      <c r="E19" s="9">
        <v>42352</v>
      </c>
      <c r="F19" s="7" t="s">
        <v>145</v>
      </c>
      <c r="G19" s="7" t="s">
        <v>108</v>
      </c>
      <c r="H19" s="7"/>
      <c r="I19" s="10">
        <v>7300</v>
      </c>
    </row>
    <row r="20" spans="1:9" x14ac:dyDescent="0.45">
      <c r="A20" s="7" t="s">
        <v>22</v>
      </c>
      <c r="B20" s="7" t="s">
        <v>148</v>
      </c>
      <c r="C20" s="7" t="s">
        <v>149</v>
      </c>
      <c r="D20" s="8">
        <v>32</v>
      </c>
      <c r="E20" s="9">
        <v>43220</v>
      </c>
      <c r="F20" s="7" t="s">
        <v>145</v>
      </c>
      <c r="G20" s="7" t="s">
        <v>111</v>
      </c>
      <c r="H20" s="7"/>
      <c r="I20" s="10">
        <v>6000</v>
      </c>
    </row>
    <row r="21" spans="1:9" x14ac:dyDescent="0.45">
      <c r="A21" s="7" t="s">
        <v>23</v>
      </c>
      <c r="B21" s="7" t="s">
        <v>150</v>
      </c>
      <c r="C21" s="7" t="s">
        <v>151</v>
      </c>
      <c r="D21" s="8">
        <v>28</v>
      </c>
      <c r="E21" s="9">
        <v>44326</v>
      </c>
      <c r="F21" s="7" t="s">
        <v>145</v>
      </c>
      <c r="G21" s="7" t="s">
        <v>114</v>
      </c>
      <c r="H21" s="7"/>
      <c r="I21" s="10">
        <v>4500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B1" zoomScale="119" workbookViewId="0">
      <selection activeCell="F2" sqref="F2"/>
    </sheetView>
  </sheetViews>
  <sheetFormatPr defaultColWidth="8.83203125" defaultRowHeight="17" x14ac:dyDescent="0.45"/>
  <cols>
    <col min="3" max="3" width="10.4140625" bestFit="1" customWidth="1"/>
    <col min="5" max="5" width="28.25" customWidth="1"/>
    <col min="6" max="6" width="10.4140625" customWidth="1"/>
    <col min="7" max="7" width="11.58203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3" t="s">
        <v>152</v>
      </c>
      <c r="F1" s="13" t="s">
        <v>154</v>
      </c>
      <c r="G1" s="11"/>
      <c r="H1" s="11"/>
    </row>
    <row r="2" spans="1:8" x14ac:dyDescent="0.45">
      <c r="A2" s="2" t="s">
        <v>11</v>
      </c>
      <c r="B2" s="2" t="s">
        <v>41</v>
      </c>
      <c r="C2" s="2" t="s">
        <v>84</v>
      </c>
      <c r="D2" s="2">
        <v>1</v>
      </c>
      <c r="E2" s="2" t="str">
        <f>VLOOKUP(A2,직원정보!$A$1:$I$21,2,FALSE)</f>
        <v>경기도 성남시 분당구 정자동 7</v>
      </c>
      <c r="F2" s="7" t="s">
        <v>155</v>
      </c>
      <c r="G2" s="2"/>
      <c r="H2" s="2"/>
    </row>
    <row r="3" spans="1:8" x14ac:dyDescent="0.45">
      <c r="A3" s="2" t="s">
        <v>19</v>
      </c>
      <c r="B3" s="2" t="s">
        <v>67</v>
      </c>
      <c r="C3" s="2" t="s">
        <v>90</v>
      </c>
      <c r="D3" s="2">
        <v>1</v>
      </c>
      <c r="E3" s="2" t="str">
        <f>VLOOKUP(A3,직원정보!$A$1:$I$21,2,FALSE)</f>
        <v>서울특별시 은평구 응암동 3</v>
      </c>
      <c r="F3" s="7"/>
      <c r="G3" s="2"/>
    </row>
    <row r="4" spans="1:8" x14ac:dyDescent="0.45">
      <c r="A4" s="2" t="s">
        <v>8</v>
      </c>
      <c r="B4" s="2" t="s">
        <v>32</v>
      </c>
      <c r="C4" s="2" t="s">
        <v>79</v>
      </c>
      <c r="D4" s="2">
        <v>3</v>
      </c>
      <c r="E4" s="2" t="str">
        <f>VLOOKUP(A4,직원정보!$A$1:$I$21,2,FALSE)</f>
        <v>서울특별시 강남구 논현동 15</v>
      </c>
      <c r="F4" s="7"/>
    </row>
    <row r="5" spans="1:8" x14ac:dyDescent="0.45">
      <c r="A5" s="2" t="s">
        <v>20</v>
      </c>
      <c r="B5" s="2" t="s">
        <v>70</v>
      </c>
      <c r="C5" s="2" t="s">
        <v>82</v>
      </c>
      <c r="D5" s="2">
        <v>3</v>
      </c>
      <c r="E5" s="2" t="str">
        <f>VLOOKUP(A5,직원정보!$A$1:$I$21,2,FALSE)</f>
        <v>서울특별시 관악구 신림동 44</v>
      </c>
      <c r="F5" s="7"/>
    </row>
    <row r="6" spans="1:8" x14ac:dyDescent="0.45">
      <c r="A6" s="2" t="s">
        <v>17</v>
      </c>
      <c r="B6" s="2" t="s">
        <v>58</v>
      </c>
      <c r="C6" s="2" t="s">
        <v>89</v>
      </c>
      <c r="D6" s="2">
        <v>1</v>
      </c>
      <c r="E6" s="2" t="str">
        <f>VLOOKUP(A6,직원정보!$A$1:$I$21,2,FALSE)</f>
        <v>경기도 화성시 동탄동 60</v>
      </c>
      <c r="F6" s="7"/>
    </row>
    <row r="7" spans="1:8" x14ac:dyDescent="0.45">
      <c r="A7" s="2" t="s">
        <v>9</v>
      </c>
      <c r="B7" s="2" t="s">
        <v>34</v>
      </c>
      <c r="C7" s="2" t="s">
        <v>84</v>
      </c>
      <c r="D7" s="2">
        <v>3</v>
      </c>
      <c r="E7" s="2" t="str">
        <f>VLOOKUP(A7,직원정보!$A$1:$I$21,2,FALSE)</f>
        <v>서울특별시 서초구 반포동 88</v>
      </c>
      <c r="F7" s="7"/>
    </row>
    <row r="8" spans="1:8" x14ac:dyDescent="0.45">
      <c r="A8" s="2" t="s">
        <v>16</v>
      </c>
      <c r="B8" s="2" t="s">
        <v>53</v>
      </c>
      <c r="C8" s="2" t="s">
        <v>84</v>
      </c>
      <c r="D8" s="2">
        <v>1</v>
      </c>
      <c r="E8" s="2" t="str">
        <f>VLOOKUP(A8,직원정보!$A$1:$I$21,2,FALSE)</f>
        <v>서울특별시 양천구 목동 5</v>
      </c>
      <c r="F8" s="7"/>
    </row>
    <row r="9" spans="1:8" x14ac:dyDescent="0.45">
      <c r="A9" s="2" t="s">
        <v>18</v>
      </c>
      <c r="B9" s="2" t="s">
        <v>64</v>
      </c>
      <c r="C9" s="2" t="s">
        <v>88</v>
      </c>
      <c r="D9" s="2">
        <v>1</v>
      </c>
      <c r="E9" s="2" t="str">
        <f>VLOOKUP(A9,직원정보!$A$1:$I$21,2,FALSE)</f>
        <v>서울특별시 영등포구 여의도동 1</v>
      </c>
      <c r="F9" s="7"/>
    </row>
    <row r="10" spans="1:8" x14ac:dyDescent="0.45">
      <c r="A10" s="2" t="s">
        <v>12</v>
      </c>
      <c r="B10" s="2" t="s">
        <v>46</v>
      </c>
      <c r="C10" s="2" t="s">
        <v>81</v>
      </c>
      <c r="D10" s="2">
        <v>3</v>
      </c>
      <c r="E10" s="2" t="str">
        <f>VLOOKUP(A10,직원정보!$A$1:$I$21,2,FALSE)</f>
        <v>서울특별시 중구 을지로 25</v>
      </c>
      <c r="F10" s="7"/>
    </row>
    <row r="11" spans="1:8" x14ac:dyDescent="0.45">
      <c r="A11" s="2" t="s">
        <v>20</v>
      </c>
      <c r="B11" s="2" t="s">
        <v>68</v>
      </c>
      <c r="C11" s="2" t="s">
        <v>92</v>
      </c>
      <c r="D11" s="2">
        <v>2</v>
      </c>
      <c r="E11" s="2" t="str">
        <f>VLOOKUP(A11,직원정보!$A$1:$I$21,2,FALSE)</f>
        <v>서울특별시 관악구 신림동 44</v>
      </c>
      <c r="F11" s="7"/>
    </row>
    <row r="12" spans="1:8" x14ac:dyDescent="0.45">
      <c r="A12" s="2" t="s">
        <v>16</v>
      </c>
      <c r="B12" s="2" t="s">
        <v>52</v>
      </c>
      <c r="C12" s="2" t="s">
        <v>89</v>
      </c>
      <c r="D12" s="2">
        <v>1</v>
      </c>
      <c r="E12" s="2" t="str">
        <f>VLOOKUP(A12,직원정보!$A$1:$I$21,2,FALSE)</f>
        <v>서울특별시 양천구 목동 5</v>
      </c>
      <c r="F12" s="7"/>
    </row>
    <row r="13" spans="1:8" x14ac:dyDescent="0.45">
      <c r="A13" s="2" t="s">
        <v>9</v>
      </c>
      <c r="B13" s="2" t="s">
        <v>36</v>
      </c>
      <c r="C13" s="2" t="s">
        <v>83</v>
      </c>
      <c r="D13" s="2">
        <v>1</v>
      </c>
      <c r="E13" s="2" t="str">
        <f>VLOOKUP(A13,직원정보!$A$1:$I$21,2,FALSE)</f>
        <v>서울특별시 서초구 반포동 88</v>
      </c>
      <c r="F13" s="7"/>
    </row>
    <row r="14" spans="1:8" x14ac:dyDescent="0.45">
      <c r="A14" s="2" t="s">
        <v>11</v>
      </c>
      <c r="B14" s="2" t="s">
        <v>43</v>
      </c>
      <c r="C14" s="2" t="s">
        <v>82</v>
      </c>
      <c r="D14" s="2">
        <v>2</v>
      </c>
      <c r="E14" s="2" t="str">
        <f>VLOOKUP(A14,직원정보!$A$1:$I$21,2,FALSE)</f>
        <v>경기도 성남시 분당구 정자동 7</v>
      </c>
      <c r="F14" s="7"/>
    </row>
    <row r="15" spans="1:8" x14ac:dyDescent="0.45">
      <c r="A15" s="2" t="s">
        <v>7</v>
      </c>
      <c r="B15" s="2" t="s">
        <v>29</v>
      </c>
      <c r="C15" s="2" t="s">
        <v>82</v>
      </c>
      <c r="D15" s="2">
        <v>2</v>
      </c>
      <c r="E15" s="2" t="str">
        <f>VLOOKUP(A15,직원정보!$A$1:$I$21,2,FALSE)</f>
        <v>경기도 고양시 일산동구 백석동 21</v>
      </c>
      <c r="F15" s="7"/>
    </row>
    <row r="16" spans="1:8" x14ac:dyDescent="0.45">
      <c r="A16" s="2" t="s">
        <v>17</v>
      </c>
      <c r="B16" s="2" t="s">
        <v>59</v>
      </c>
      <c r="C16" s="2" t="s">
        <v>88</v>
      </c>
      <c r="D16" s="2">
        <v>3</v>
      </c>
      <c r="E16" s="2" t="str">
        <f>VLOOKUP(A16,직원정보!$A$1:$I$21,2,FALSE)</f>
        <v>경기도 화성시 동탄동 60</v>
      </c>
      <c r="F16" s="7"/>
    </row>
    <row r="17" spans="1:6" x14ac:dyDescent="0.45">
      <c r="A17" s="2" t="s">
        <v>12</v>
      </c>
      <c r="B17" s="2" t="s">
        <v>48</v>
      </c>
      <c r="C17" s="2" t="s">
        <v>78</v>
      </c>
      <c r="D17" s="2">
        <v>1</v>
      </c>
      <c r="E17" s="2" t="str">
        <f>VLOOKUP(A17,직원정보!$A$1:$I$21,2,FALSE)</f>
        <v>서울특별시 중구 을지로 25</v>
      </c>
      <c r="F17" s="7"/>
    </row>
    <row r="18" spans="1:6" x14ac:dyDescent="0.45">
      <c r="A18" s="2" t="s">
        <v>16</v>
      </c>
      <c r="B18" s="2" t="s">
        <v>55</v>
      </c>
      <c r="C18" s="2" t="s">
        <v>79</v>
      </c>
      <c r="D18" s="2">
        <v>1</v>
      </c>
      <c r="E18" s="2" t="str">
        <f>VLOOKUP(A18,직원정보!$A$1:$I$21,2,FALSE)</f>
        <v>서울특별시 양천구 목동 5</v>
      </c>
      <c r="F18" s="7"/>
    </row>
    <row r="19" spans="1:6" x14ac:dyDescent="0.45">
      <c r="A19" s="2" t="s">
        <v>9</v>
      </c>
      <c r="B19" s="2" t="s">
        <v>35</v>
      </c>
      <c r="C19" s="2" t="s">
        <v>85</v>
      </c>
      <c r="D19" s="2">
        <v>1</v>
      </c>
      <c r="E19" s="2" t="str">
        <f>VLOOKUP(A19,직원정보!$A$1:$I$21,2,FALSE)</f>
        <v>서울특별시 서초구 반포동 88</v>
      </c>
      <c r="F19" s="7"/>
    </row>
    <row r="20" spans="1:6" x14ac:dyDescent="0.45">
      <c r="A20" s="2" t="s">
        <v>16</v>
      </c>
      <c r="B20" s="2" t="s">
        <v>54</v>
      </c>
      <c r="C20" s="2" t="s">
        <v>92</v>
      </c>
      <c r="D20" s="2">
        <v>2</v>
      </c>
      <c r="E20" s="2" t="str">
        <f>VLOOKUP(A20,직원정보!$A$1:$I$21,2,FALSE)</f>
        <v>서울특별시 양천구 목동 5</v>
      </c>
      <c r="F20" s="7"/>
    </row>
    <row r="21" spans="1:6" x14ac:dyDescent="0.45">
      <c r="A21" s="2" t="s">
        <v>23</v>
      </c>
      <c r="B21" s="2" t="s">
        <v>73</v>
      </c>
      <c r="C21" s="2" t="s">
        <v>85</v>
      </c>
      <c r="D21" s="2">
        <v>2</v>
      </c>
      <c r="E21" s="2" t="str">
        <f>VLOOKUP(A21,직원정보!$A$1:$I$21,2,FALSE)</f>
        <v>서울특별시 강서구 화곡동 12</v>
      </c>
      <c r="F21" s="7"/>
    </row>
    <row r="22" spans="1:6" x14ac:dyDescent="0.45">
      <c r="A22" s="2" t="s">
        <v>8</v>
      </c>
      <c r="B22" s="2" t="s">
        <v>31</v>
      </c>
      <c r="C22" s="2" t="s">
        <v>83</v>
      </c>
      <c r="D22" s="2">
        <v>2</v>
      </c>
      <c r="E22" s="2" t="str">
        <f>VLOOKUP(A22,직원정보!$A$1:$I$21,2,FALSE)</f>
        <v>서울특별시 강남구 논현동 15</v>
      </c>
    </row>
    <row r="23" spans="1:6" x14ac:dyDescent="0.45">
      <c r="A23" s="2" t="s">
        <v>19</v>
      </c>
      <c r="B23" s="2" t="s">
        <v>65</v>
      </c>
      <c r="C23" s="2" t="s">
        <v>85</v>
      </c>
      <c r="D23" s="2">
        <v>1</v>
      </c>
      <c r="E23" s="2" t="str">
        <f>VLOOKUP(A23,직원정보!$A$1:$I$21,2,FALSE)</f>
        <v>서울특별시 은평구 응암동 3</v>
      </c>
    </row>
    <row r="24" spans="1:6" x14ac:dyDescent="0.45">
      <c r="A24" s="2" t="s">
        <v>10</v>
      </c>
      <c r="B24" s="2" t="s">
        <v>39</v>
      </c>
      <c r="C24" s="2" t="s">
        <v>87</v>
      </c>
      <c r="D24" s="2">
        <v>1</v>
      </c>
      <c r="E24" s="2" t="str">
        <f>VLOOKUP(A24,직원정보!$A$1:$I$21,2,FALSE)</f>
        <v>서울특별시 송파구 잠실동 20</v>
      </c>
    </row>
    <row r="25" spans="1:6" x14ac:dyDescent="0.45">
      <c r="A25" s="2" t="s">
        <v>10</v>
      </c>
      <c r="B25" s="2" t="s">
        <v>37</v>
      </c>
      <c r="C25" s="2" t="s">
        <v>86</v>
      </c>
      <c r="D25" s="2">
        <v>2</v>
      </c>
      <c r="E25" s="2" t="str">
        <f>VLOOKUP(A25,직원정보!$A$1:$I$21,2,FALSE)</f>
        <v>서울특별시 송파구 잠실동 20</v>
      </c>
    </row>
    <row r="26" spans="1:6" x14ac:dyDescent="0.45">
      <c r="A26" s="2" t="s">
        <v>23</v>
      </c>
      <c r="B26" s="2" t="s">
        <v>77</v>
      </c>
      <c r="C26" s="2" t="s">
        <v>82</v>
      </c>
      <c r="D26" s="2">
        <v>1</v>
      </c>
      <c r="E26" s="2" t="str">
        <f>VLOOKUP(A26,직원정보!$A$1:$I$21,2,FALSE)</f>
        <v>서울특별시 강서구 화곡동 12</v>
      </c>
    </row>
    <row r="27" spans="1:6" x14ac:dyDescent="0.45">
      <c r="A27" s="2" t="s">
        <v>15</v>
      </c>
      <c r="B27" s="2" t="s">
        <v>51</v>
      </c>
      <c r="C27" s="2" t="s">
        <v>87</v>
      </c>
      <c r="D27" s="2">
        <v>2</v>
      </c>
      <c r="E27" s="2" t="str">
        <f>VLOOKUP(A27,직원정보!$A$1:$I$21,2,FALSE)</f>
        <v>서울특별시 마포구 상암동 55</v>
      </c>
    </row>
    <row r="28" spans="1:6" x14ac:dyDescent="0.45">
      <c r="A28" s="2" t="s">
        <v>14</v>
      </c>
      <c r="B28" s="2" t="s">
        <v>50</v>
      </c>
      <c r="C28" s="2" t="s">
        <v>91</v>
      </c>
      <c r="D28" s="2">
        <v>2</v>
      </c>
      <c r="E28" s="2" t="str">
        <f>VLOOKUP(A28,직원정보!$A$1:$I$21,2,FALSE)</f>
        <v>경기도 수원시 영통구 영통동 99</v>
      </c>
    </row>
    <row r="29" spans="1:6" x14ac:dyDescent="0.45">
      <c r="A29" s="2" t="s">
        <v>23</v>
      </c>
      <c r="B29" s="2" t="s">
        <v>74</v>
      </c>
      <c r="C29" s="2" t="s">
        <v>78</v>
      </c>
      <c r="D29" s="2">
        <v>3</v>
      </c>
      <c r="E29" s="2" t="str">
        <f>VLOOKUP(A29,직원정보!$A$1:$I$21,2,FALSE)</f>
        <v>서울특별시 강서구 화곡동 12</v>
      </c>
    </row>
    <row r="30" spans="1:6" x14ac:dyDescent="0.45">
      <c r="A30" s="2" t="s">
        <v>5</v>
      </c>
      <c r="B30" s="2" t="s">
        <v>25</v>
      </c>
      <c r="C30" s="2" t="s">
        <v>79</v>
      </c>
      <c r="D30" s="2">
        <v>1</v>
      </c>
      <c r="E30" s="2" t="str">
        <f>VLOOKUP(A30,직원정보!$A$1:$I$21,2,FALSE)</f>
        <v>서울특별시 성동구 성수동 77</v>
      </c>
    </row>
    <row r="31" spans="1:6" x14ac:dyDescent="0.45">
      <c r="A31" s="2" t="s">
        <v>12</v>
      </c>
      <c r="B31" s="2" t="s">
        <v>47</v>
      </c>
      <c r="C31" s="2" t="s">
        <v>89</v>
      </c>
      <c r="D31" s="2">
        <v>2</v>
      </c>
      <c r="E31" s="2" t="str">
        <f>VLOOKUP(A31,직원정보!$A$1:$I$21,2,FALSE)</f>
        <v>서울특별시 중구 을지로 25</v>
      </c>
    </row>
    <row r="32" spans="1:6" x14ac:dyDescent="0.45">
      <c r="A32" s="2" t="s">
        <v>23</v>
      </c>
      <c r="B32" s="2" t="s">
        <v>75</v>
      </c>
      <c r="C32" s="2" t="s">
        <v>78</v>
      </c>
      <c r="D32" s="2">
        <v>2</v>
      </c>
      <c r="E32" s="2" t="str">
        <f>VLOOKUP(A32,직원정보!$A$1:$I$21,2,FALSE)</f>
        <v>서울특별시 강서구 화곡동 12</v>
      </c>
    </row>
    <row r="33" spans="1:5" x14ac:dyDescent="0.45">
      <c r="A33" s="2" t="s">
        <v>22</v>
      </c>
      <c r="B33" s="2" t="s">
        <v>72</v>
      </c>
      <c r="C33" s="2" t="s">
        <v>85</v>
      </c>
      <c r="D33" s="2">
        <v>2</v>
      </c>
      <c r="E33" s="2" t="str">
        <f>VLOOKUP(A33,직원정보!$A$1:$I$21,2,FALSE)</f>
        <v>경기도 안양시 동안구 평촌동 8</v>
      </c>
    </row>
    <row r="34" spans="1:5" x14ac:dyDescent="0.45">
      <c r="A34" s="2" t="s">
        <v>18</v>
      </c>
      <c r="B34" s="2" t="s">
        <v>63</v>
      </c>
      <c r="C34" s="2" t="s">
        <v>88</v>
      </c>
      <c r="D34" s="2">
        <v>1</v>
      </c>
      <c r="E34" s="2" t="str">
        <f>VLOOKUP(A34,직원정보!$A$1:$I$21,2,FALSE)</f>
        <v>서울특별시 영등포구 여의도동 1</v>
      </c>
    </row>
    <row r="35" spans="1:5" x14ac:dyDescent="0.45">
      <c r="A35" s="2" t="s">
        <v>8</v>
      </c>
      <c r="B35" s="2" t="s">
        <v>30</v>
      </c>
      <c r="C35" s="2" t="s">
        <v>80</v>
      </c>
      <c r="D35" s="2">
        <v>3</v>
      </c>
      <c r="E35" s="2" t="str">
        <f>VLOOKUP(A35,직원정보!$A$1:$I$21,2,FALSE)</f>
        <v>서울특별시 강남구 논현동 15</v>
      </c>
    </row>
    <row r="36" spans="1:5" x14ac:dyDescent="0.45">
      <c r="A36" s="2" t="s">
        <v>9</v>
      </c>
      <c r="B36" s="2" t="s">
        <v>33</v>
      </c>
      <c r="C36" s="2" t="s">
        <v>83</v>
      </c>
      <c r="D36" s="2">
        <v>3</v>
      </c>
      <c r="E36" s="2" t="str">
        <f>VLOOKUP(A36,직원정보!$A$1:$I$21,2,FALSE)</f>
        <v>서울특별시 서초구 반포동 88</v>
      </c>
    </row>
    <row r="37" spans="1:5" x14ac:dyDescent="0.45">
      <c r="A37" s="2" t="s">
        <v>10</v>
      </c>
      <c r="B37" s="2" t="s">
        <v>38</v>
      </c>
      <c r="C37" s="2" t="s">
        <v>86</v>
      </c>
      <c r="D37" s="2">
        <v>3</v>
      </c>
      <c r="E37" s="2" t="str">
        <f>VLOOKUP(A37,직원정보!$A$1:$I$21,2,FALSE)</f>
        <v>서울특별시 송파구 잠실동 20</v>
      </c>
    </row>
    <row r="38" spans="1:5" x14ac:dyDescent="0.45">
      <c r="A38" s="2" t="s">
        <v>6</v>
      </c>
      <c r="B38" s="2" t="s">
        <v>28</v>
      </c>
      <c r="C38" s="2" t="s">
        <v>81</v>
      </c>
      <c r="D38" s="2">
        <v>1</v>
      </c>
      <c r="E38" s="2" t="str">
        <f>VLOOKUP(A38,직원정보!$A$1:$I$21,2,FALSE)</f>
        <v>서울특별시 강북구 수유동 51</v>
      </c>
    </row>
    <row r="39" spans="1:5" x14ac:dyDescent="0.45">
      <c r="A39" s="2" t="s">
        <v>6</v>
      </c>
      <c r="B39" s="2" t="s">
        <v>27</v>
      </c>
      <c r="C39" s="2" t="s">
        <v>79</v>
      </c>
      <c r="D39" s="2">
        <v>3</v>
      </c>
      <c r="E39" s="2" t="str">
        <f>VLOOKUP(A39,직원정보!$A$1:$I$21,2,FALSE)</f>
        <v>서울특별시 강북구 수유동 51</v>
      </c>
    </row>
    <row r="40" spans="1:5" x14ac:dyDescent="0.45">
      <c r="A40" s="2" t="s">
        <v>12</v>
      </c>
      <c r="B40" s="2" t="s">
        <v>45</v>
      </c>
      <c r="C40" s="2" t="s">
        <v>83</v>
      </c>
      <c r="D40" s="2">
        <v>2</v>
      </c>
      <c r="E40" s="2" t="str">
        <f>VLOOKUP(A40,직원정보!$A$1:$I$21,2,FALSE)</f>
        <v>서울특별시 중구 을지로 25</v>
      </c>
    </row>
    <row r="41" spans="1:5" x14ac:dyDescent="0.45">
      <c r="A41" s="2" t="s">
        <v>20</v>
      </c>
      <c r="B41" s="2" t="s">
        <v>69</v>
      </c>
      <c r="C41" s="2" t="s">
        <v>81</v>
      </c>
      <c r="D41" s="2">
        <v>3</v>
      </c>
      <c r="E41" s="2" t="str">
        <f>VLOOKUP(A41,직원정보!$A$1:$I$21,2,FALSE)</f>
        <v>서울특별시 관악구 신림동 44</v>
      </c>
    </row>
    <row r="42" spans="1:5" x14ac:dyDescent="0.45">
      <c r="A42" s="2" t="s">
        <v>10</v>
      </c>
      <c r="B42" s="2" t="s">
        <v>40</v>
      </c>
      <c r="C42" s="2" t="s">
        <v>78</v>
      </c>
      <c r="D42" s="2">
        <v>3</v>
      </c>
      <c r="E42" s="2" t="str">
        <f>VLOOKUP(A42,직원정보!$A$1:$I$21,2,FALSE)</f>
        <v>서울특별시 송파구 잠실동 20</v>
      </c>
    </row>
    <row r="43" spans="1:5" x14ac:dyDescent="0.45">
      <c r="A43" s="2" t="s">
        <v>11</v>
      </c>
      <c r="B43" s="2" t="s">
        <v>42</v>
      </c>
      <c r="C43" s="2" t="s">
        <v>83</v>
      </c>
      <c r="D43" s="2">
        <v>3</v>
      </c>
      <c r="E43" s="2" t="str">
        <f>VLOOKUP(A43,직원정보!$A$1:$I$21,2,FALSE)</f>
        <v>경기도 성남시 분당구 정자동 7</v>
      </c>
    </row>
    <row r="44" spans="1:5" x14ac:dyDescent="0.45">
      <c r="A44" s="2" t="s">
        <v>19</v>
      </c>
      <c r="B44" s="2" t="s">
        <v>66</v>
      </c>
      <c r="C44" s="2" t="s">
        <v>89</v>
      </c>
      <c r="D44" s="2">
        <v>1</v>
      </c>
      <c r="E44" s="2" t="str">
        <f>VLOOKUP(A44,직원정보!$A$1:$I$21,2,FALSE)</f>
        <v>서울특별시 은평구 응암동 3</v>
      </c>
    </row>
    <row r="45" spans="1:5" x14ac:dyDescent="0.45">
      <c r="A45" s="2" t="s">
        <v>17</v>
      </c>
      <c r="B45" s="2" t="s">
        <v>56</v>
      </c>
      <c r="C45" s="2" t="s">
        <v>92</v>
      </c>
      <c r="D45" s="2">
        <v>2</v>
      </c>
      <c r="E45" s="2" t="str">
        <f>VLOOKUP(A45,직원정보!$A$1:$I$21,2,FALSE)</f>
        <v>경기도 화성시 동탄동 60</v>
      </c>
    </row>
    <row r="46" spans="1:5" x14ac:dyDescent="0.45">
      <c r="A46" s="2" t="s">
        <v>18</v>
      </c>
      <c r="B46" s="2" t="s">
        <v>62</v>
      </c>
      <c r="C46" s="2" t="s">
        <v>88</v>
      </c>
      <c r="D46" s="2">
        <v>2</v>
      </c>
      <c r="E46" s="2" t="str">
        <f>VLOOKUP(A46,직원정보!$A$1:$I$21,2,FALSE)</f>
        <v>서울특별시 영등포구 여의도동 1</v>
      </c>
    </row>
    <row r="47" spans="1:5" x14ac:dyDescent="0.45">
      <c r="A47" s="2" t="s">
        <v>18</v>
      </c>
      <c r="B47" s="2" t="s">
        <v>61</v>
      </c>
      <c r="C47" s="2" t="s">
        <v>92</v>
      </c>
      <c r="D47" s="2">
        <v>2</v>
      </c>
      <c r="E47" s="2" t="str">
        <f>VLOOKUP(A47,직원정보!$A$1:$I$21,2,FALSE)</f>
        <v>서울특별시 영등포구 여의도동 1</v>
      </c>
    </row>
    <row r="48" spans="1:5" x14ac:dyDescent="0.45">
      <c r="A48" s="2" t="s">
        <v>18</v>
      </c>
      <c r="B48" s="2" t="s">
        <v>60</v>
      </c>
      <c r="C48" s="2" t="s">
        <v>88</v>
      </c>
      <c r="D48" s="2">
        <v>2</v>
      </c>
      <c r="E48" s="2" t="str">
        <f>VLOOKUP(A48,직원정보!$A$1:$I$21,2,FALSE)</f>
        <v>서울특별시 영등포구 여의도동 1</v>
      </c>
    </row>
    <row r="49" spans="1:6" x14ac:dyDescent="0.45">
      <c r="A49" s="2" t="s">
        <v>23</v>
      </c>
      <c r="B49" s="2" t="s">
        <v>76</v>
      </c>
      <c r="C49" s="2" t="s">
        <v>78</v>
      </c>
      <c r="D49" s="2">
        <v>2</v>
      </c>
      <c r="E49" s="2" t="str">
        <f>VLOOKUP(A49,직원정보!$A$1:$I$21,2,FALSE)</f>
        <v>서울특별시 강서구 화곡동 12</v>
      </c>
    </row>
    <row r="50" spans="1:6" x14ac:dyDescent="0.45">
      <c r="A50" s="2" t="s">
        <v>4</v>
      </c>
      <c r="B50" s="2" t="s">
        <v>24</v>
      </c>
      <c r="C50" s="2" t="s">
        <v>78</v>
      </c>
      <c r="D50" s="2">
        <v>1</v>
      </c>
      <c r="E50" s="2" t="str">
        <f>VLOOKUP(A50,직원정보!$A$1:$I$21,2,FALSE)</f>
        <v>서울특별시 서대문구 신촌동 33</v>
      </c>
    </row>
    <row r="51" spans="1:6" x14ac:dyDescent="0.45">
      <c r="A51" s="2" t="s">
        <v>13</v>
      </c>
      <c r="B51" s="2" t="s">
        <v>49</v>
      </c>
      <c r="C51" s="2" t="s">
        <v>90</v>
      </c>
      <c r="D51" s="2">
        <v>3</v>
      </c>
      <c r="E51" s="2" t="str">
        <f>VLOOKUP(A51,직원정보!$A$1:$I$21,2,FALSE)</f>
        <v>경기도 용인시 기흥구 구성동 10</v>
      </c>
    </row>
    <row r="52" spans="1:6" x14ac:dyDescent="0.45">
      <c r="A52" s="2" t="s">
        <v>6</v>
      </c>
      <c r="B52" s="2" t="s">
        <v>26</v>
      </c>
      <c r="C52" s="2" t="s">
        <v>80</v>
      </c>
      <c r="D52" s="2">
        <v>1</v>
      </c>
      <c r="E52" s="2" t="str">
        <f>VLOOKUP(A52,직원정보!$A$1:$I$21,2,FALSE)</f>
        <v>서울특별시 강북구 수유동 51</v>
      </c>
    </row>
    <row r="53" spans="1:6" x14ac:dyDescent="0.45">
      <c r="A53" s="2" t="s">
        <v>21</v>
      </c>
      <c r="B53" s="2" t="s">
        <v>71</v>
      </c>
      <c r="C53" s="2" t="s">
        <v>82</v>
      </c>
      <c r="D53" s="2">
        <v>2</v>
      </c>
      <c r="E53" s="2" t="str">
        <f>VLOOKUP(A53,직원정보!$A$1:$I$21,2,FALSE)</f>
        <v>서울특별시 용산구 한남동 101</v>
      </c>
    </row>
    <row r="54" spans="1:6" x14ac:dyDescent="0.45">
      <c r="A54" s="2" t="s">
        <v>17</v>
      </c>
      <c r="B54" s="2" t="s">
        <v>57</v>
      </c>
      <c r="C54" s="2" t="s">
        <v>81</v>
      </c>
      <c r="D54" s="2">
        <v>1</v>
      </c>
      <c r="E54" s="2" t="str">
        <f>VLOOKUP(A54,직원정보!$A$1:$I$21,2,FALSE)</f>
        <v>경기도 화성시 동탄동 60</v>
      </c>
    </row>
    <row r="55" spans="1:6" x14ac:dyDescent="0.45">
      <c r="A55" s="2" t="s">
        <v>12</v>
      </c>
      <c r="B55" s="2" t="s">
        <v>44</v>
      </c>
      <c r="C55" s="2" t="s">
        <v>88</v>
      </c>
      <c r="D55" s="2">
        <v>1</v>
      </c>
      <c r="E55" s="2" t="str">
        <f>VLOOKUP(A55,직원정보!$A$1:$I$21,2,FALSE)</f>
        <v>서울특별시 중구 을지로 25</v>
      </c>
    </row>
    <row r="58" spans="1:6" x14ac:dyDescent="0.45">
      <c r="B58" s="14" t="s">
        <v>153</v>
      </c>
      <c r="C58" s="12"/>
      <c r="D58" s="12"/>
      <c r="E58" s="12"/>
      <c r="F58" s="12"/>
    </row>
    <row r="59" spans="1:6" x14ac:dyDescent="0.45">
      <c r="B59" s="12"/>
      <c r="C59" s="12"/>
      <c r="D59" s="12"/>
      <c r="E59" s="12"/>
      <c r="F59" s="12"/>
    </row>
    <row r="60" spans="1:6" x14ac:dyDescent="0.45">
      <c r="B60" s="12"/>
      <c r="C60" s="12"/>
      <c r="D60" s="12"/>
      <c r="E60" s="12"/>
      <c r="F60" s="12"/>
    </row>
    <row r="61" spans="1:6" x14ac:dyDescent="0.45">
      <c r="B61" s="12"/>
      <c r="C61" s="12"/>
      <c r="D61" s="12"/>
      <c r="E61" s="12"/>
      <c r="F61" s="12"/>
    </row>
    <row r="62" spans="1:6" x14ac:dyDescent="0.45">
      <c r="B62" s="12"/>
      <c r="C62" s="12"/>
      <c r="D62" s="12"/>
      <c r="E62" s="12"/>
      <c r="F62" s="12"/>
    </row>
    <row r="63" spans="1:6" x14ac:dyDescent="0.45">
      <c r="B63" s="12"/>
      <c r="C63" s="12"/>
      <c r="D63" s="12"/>
      <c r="E63" s="12"/>
      <c r="F63" s="12"/>
    </row>
    <row r="64" spans="1:6" x14ac:dyDescent="0.45">
      <c r="B64" s="12"/>
      <c r="C64" s="12"/>
      <c r="D64" s="12"/>
      <c r="E64" s="12"/>
      <c r="F64" s="12"/>
    </row>
    <row r="65" spans="2:6" x14ac:dyDescent="0.45">
      <c r="B65" s="12"/>
      <c r="C65" s="12"/>
      <c r="D65" s="12"/>
      <c r="E65" s="12"/>
      <c r="F65" s="12"/>
    </row>
    <row r="66" spans="2:6" x14ac:dyDescent="0.45">
      <c r="B66" s="12"/>
      <c r="C66" s="12"/>
      <c r="D66" s="12"/>
      <c r="E66" s="12"/>
      <c r="F66" s="12"/>
    </row>
    <row r="67" spans="2:6" x14ac:dyDescent="0.45">
      <c r="B67" s="12"/>
      <c r="C67" s="12"/>
      <c r="D67" s="12"/>
      <c r="E67" s="12"/>
      <c r="F67" s="12"/>
    </row>
  </sheetData>
  <mergeCells count="1">
    <mergeCell ref="B58:F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직원정보</vt:lpstr>
      <vt:lpstr>복지몰 구매내역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수현 변</cp:lastModifiedBy>
  <dcterms:created xsi:type="dcterms:W3CDTF">2025-03-28T01:38:35Z</dcterms:created>
  <dcterms:modified xsi:type="dcterms:W3CDTF">2026-01-15T09:54:38Z</dcterms:modified>
</cp:coreProperties>
</file>