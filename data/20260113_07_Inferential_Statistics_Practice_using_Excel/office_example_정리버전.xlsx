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7525D037-7B53-409F-A962-CD688ADA6A03}" xr6:coauthVersionLast="47" xr6:coauthVersionMax="47" xr10:uidLastSave="{00000000-0000-0000-0000-000000000000}"/>
  <bookViews>
    <workbookView xWindow="3290" yWindow="950" windowWidth="19250" windowHeight="14240" xr2:uid="{D9D0CEFD-F510-BD49-8F89-4D88711789C7}"/>
  </bookViews>
  <sheets>
    <sheet name="Sheet1" sheetId="1" r:id="rId1"/>
    <sheet name="Sheet2" sheetId="2" r:id="rId2"/>
  </sheets>
  <definedNames>
    <definedName name="_xlnm._FilterDatabase" localSheetId="0" hidden="1">Sheet1!$A$1:$I$21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Q5" i="2"/>
  <c r="R15" i="2"/>
  <c r="Q7" i="2"/>
  <c r="O3" i="2" a="1"/>
  <c r="O3" i="2" s="1"/>
  <c r="O4" i="2" a="1"/>
  <c r="O4" i="2" s="1"/>
  <c r="O5" i="2" a="1"/>
  <c r="O5" i="2" s="1"/>
  <c r="O6" i="2" a="1"/>
  <c r="O6" i="2"/>
  <c r="O7" i="2" a="1"/>
  <c r="O7" i="2" s="1"/>
  <c r="O8" i="2" a="1"/>
  <c r="O8" i="2" s="1"/>
  <c r="O9" i="2" a="1"/>
  <c r="O9" i="2" s="1"/>
  <c r="O10" i="2" a="1"/>
  <c r="O10" i="2"/>
  <c r="O11" i="2" a="1"/>
  <c r="O11" i="2" s="1"/>
  <c r="O12" i="2" a="1"/>
  <c r="O12" i="2" s="1"/>
  <c r="O13" i="2" a="1"/>
  <c r="O13" i="2" s="1"/>
  <c r="O14" i="2" a="1"/>
  <c r="O14" i="2"/>
  <c r="O15" i="2" a="1"/>
  <c r="O15" i="2" s="1"/>
  <c r="O16" i="2" a="1"/>
  <c r="O16" i="2" s="1"/>
  <c r="O17" i="2" a="1"/>
  <c r="O17" i="2" s="1"/>
  <c r="O18" i="2" a="1"/>
  <c r="O18" i="2"/>
  <c r="O19" i="2" a="1"/>
  <c r="O19" i="2" s="1"/>
  <c r="O20" i="2" a="1"/>
  <c r="O20" i="2" s="1"/>
  <c r="O21" i="2" a="1"/>
  <c r="O21" i="2" s="1"/>
  <c r="O2" i="2" a="1"/>
  <c r="O2" i="2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M2" i="1" a="1"/>
  <c r="M2" i="1" s="1"/>
  <c r="N2" i="1" s="1"/>
  <c r="L2" i="1" a="1"/>
  <c r="L2" i="1" s="1"/>
  <c r="K2" i="1"/>
  <c r="N9" i="1" l="1"/>
  <c r="N14" i="1"/>
  <c r="N12" i="1"/>
  <c r="N4" i="1"/>
  <c r="N11" i="1"/>
  <c r="N18" i="1"/>
  <c r="N10" i="1"/>
  <c r="N16" i="1"/>
  <c r="N8" i="1"/>
  <c r="N15" i="1"/>
  <c r="N7" i="1"/>
  <c r="N17" i="1"/>
  <c r="N6" i="1"/>
  <c r="N21" i="1"/>
  <c r="N13" i="1"/>
  <c r="N5" i="1"/>
  <c r="N20" i="1"/>
  <c r="N19" i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<sst xmlns="http://schemas.openxmlformats.org/spreadsheetml/2006/main" count="254" uniqueCount="106">
  <si>
    <t>주소</t>
  </si>
  <si>
    <t>전화번호</t>
  </si>
  <si>
    <t>팀</t>
  </si>
  <si>
    <t>직위</t>
  </si>
  <si>
    <t>직책</t>
  </si>
  <si>
    <t>나이</t>
  </si>
  <si>
    <t>김지훈</t>
  </si>
  <si>
    <t>서울특별시 강남구 논현동 15</t>
  </si>
  <si>
    <t>010-1234-5678</t>
  </si>
  <si>
    <t>영업팀</t>
  </si>
  <si>
    <t>부장</t>
  </si>
  <si>
    <t>팀장</t>
  </si>
  <si>
    <t>이민서</t>
  </si>
  <si>
    <t>서울특별시 송파구 잠실동 20</t>
  </si>
  <si>
    <t>010-2345-6789</t>
  </si>
  <si>
    <t>대리</t>
  </si>
  <si>
    <t>박준호</t>
  </si>
  <si>
    <t>경기도 성남시 분당구 정자동 7</t>
  </si>
  <si>
    <t>010-3456-7890</t>
  </si>
  <si>
    <t>사원</t>
  </si>
  <si>
    <t>한예린</t>
  </si>
  <si>
    <t>서울특별시 서초구 반포동 88</t>
  </si>
  <si>
    <t>010-4567-8901</t>
  </si>
  <si>
    <t>과장</t>
  </si>
  <si>
    <t>최승현</t>
  </si>
  <si>
    <t>서울특별시 중구 을지로 25</t>
  </si>
  <si>
    <t>010-5678-9012</t>
  </si>
  <si>
    <t>기획팀</t>
  </si>
  <si>
    <t>차장</t>
  </si>
  <si>
    <t>강수진</t>
  </si>
  <si>
    <t>경기도 수원시 영통구 영통동 99</t>
  </si>
  <si>
    <t>010-6789-0123</t>
  </si>
  <si>
    <t>장우진</t>
  </si>
  <si>
    <t>서울특별시 마포구 상암동 55</t>
  </si>
  <si>
    <t>010-7890-1234</t>
  </si>
  <si>
    <t>김하은</t>
  </si>
  <si>
    <t>서울특별시 관악구 신림동 44</t>
  </si>
  <si>
    <t>010-8901-2345</t>
  </si>
  <si>
    <t>개발팀</t>
  </si>
  <si>
    <t>박도현</t>
  </si>
  <si>
    <t>서울특별시 용산구 한남동 101</t>
  </si>
  <si>
    <t>010-9012-3456</t>
  </si>
  <si>
    <t>이수아</t>
  </si>
  <si>
    <t>경기도 안양시 동안구 평촌동 8</t>
  </si>
  <si>
    <t>010-0123-4567</t>
  </si>
  <si>
    <t>윤재혁</t>
  </si>
  <si>
    <t>서울특별시 강서구 화곡동 12</t>
  </si>
  <si>
    <t>010-1111-2222</t>
  </si>
  <si>
    <t>한지민</t>
  </si>
  <si>
    <t>서울특별시 서대문구 신촌동 33</t>
  </si>
  <si>
    <t>010-2222-3333</t>
  </si>
  <si>
    <t>마케팅팀</t>
  </si>
  <si>
    <t>박혜진</t>
  </si>
  <si>
    <t>서울특별시 성동구 성수동 77</t>
  </si>
  <si>
    <t>010-3333-4444</t>
  </si>
  <si>
    <t>임동현</t>
  </si>
  <si>
    <t>경기도 고양시 일산동구 백석동 21</t>
  </si>
  <si>
    <t>010-4444-5555</t>
  </si>
  <si>
    <t>최유정</t>
  </si>
  <si>
    <t>서울특별시 강북구 수유동 51</t>
  </si>
  <si>
    <t>010-5555-6666</t>
  </si>
  <si>
    <t>정승원</t>
  </si>
  <si>
    <t>서울특별시 양천구 목동 5</t>
  </si>
  <si>
    <t>010-6666-7777</t>
  </si>
  <si>
    <t>연구팀</t>
  </si>
  <si>
    <t>박세연</t>
  </si>
  <si>
    <t>경기도 화성시 동탄동 60</t>
  </si>
  <si>
    <t>010-7777-8888</t>
  </si>
  <si>
    <t>이준서</t>
  </si>
  <si>
    <t>서울특별시 영등포구 여의도동 1</t>
  </si>
  <si>
    <t>010-8888-9999</t>
  </si>
  <si>
    <t>송지아</t>
  </si>
  <si>
    <t>서울특별시 은평구 응암동 3</t>
  </si>
  <si>
    <t>010-9999-0000</t>
  </si>
  <si>
    <t>한상우</t>
  </si>
  <si>
    <t>경기도 용인시 기흥구 구성동 10</t>
  </si>
  <si>
    <t>010-0000-1111</t>
  </si>
  <si>
    <t>입사 일자</t>
  </si>
  <si>
    <t>직원 이름</t>
    <phoneticPr fontId="1" type="noConversion"/>
  </si>
  <si>
    <t>today()</t>
    <phoneticPr fontId="1" type="noConversion"/>
  </si>
  <si>
    <t>경과일수</t>
    <phoneticPr fontId="1" type="noConversion"/>
  </si>
  <si>
    <t>햇수(year)</t>
    <phoneticPr fontId="1" type="noConversion"/>
  </si>
  <si>
    <t>연차 (햇수 + 1)</t>
    <phoneticPr fontId="1" type="noConversion"/>
  </si>
  <si>
    <t>month /day</t>
    <phoneticPr fontId="1" type="noConversion"/>
  </si>
  <si>
    <t>weekday(일자)</t>
    <phoneticPr fontId="1" type="noConversion"/>
  </si>
  <si>
    <t>text(E2,"aaaa")</t>
    <phoneticPr fontId="1" type="noConversion"/>
  </si>
  <si>
    <t>if(조건식, 참, 거짓시 반환내용)</t>
    <phoneticPr fontId="1" type="noConversion"/>
  </si>
  <si>
    <t>연봉1억이상여부</t>
  </si>
  <si>
    <t>연봉평균이상인지</t>
  </si>
  <si>
    <t>연봉(만원)</t>
    <phoneticPr fontId="1" type="noConversion"/>
  </si>
  <si>
    <t>팀장여부로 호칭 변경</t>
    <phoneticPr fontId="1" type="noConversion"/>
  </si>
  <si>
    <t>= IF(I2:I21&gt;=10000,"1억이상","1억이하")</t>
    <phoneticPr fontId="1" type="noConversion"/>
  </si>
  <si>
    <t>AND(중첩)/</t>
    <phoneticPr fontId="1" type="noConversion"/>
  </si>
  <si>
    <t>IFS(조건식1,조건1이참일경우반환,조건식2조건식2가참일경우 반환…)</t>
    <phoneticPr fontId="1" type="noConversion"/>
  </si>
  <si>
    <t>차장 직위 숫자</t>
    <phoneticPr fontId="1" type="noConversion"/>
  </si>
  <si>
    <t>연봉 1억이상</t>
    <phoneticPr fontId="1" type="noConversion"/>
  </si>
  <si>
    <t>평균연봉이상직원수</t>
    <phoneticPr fontId="1" type="noConversion"/>
  </si>
  <si>
    <t>조건을 여러 개 쓸 때</t>
    <phoneticPr fontId="1" type="noConversion"/>
  </si>
  <si>
    <t>평균을 집계할 때</t>
    <phoneticPr fontId="1" type="noConversion"/>
  </si>
  <si>
    <t>과장 직책의 평균 연봉</t>
    <phoneticPr fontId="1" type="noConversion"/>
  </si>
  <si>
    <t>COUNTIFS</t>
    <phoneticPr fontId="1" type="noConversion"/>
  </si>
  <si>
    <t>AVERAGEIF</t>
    <phoneticPr fontId="1" type="noConversion"/>
  </si>
  <si>
    <t>평균 집계 여러 개</t>
    <phoneticPr fontId="1" type="noConversion"/>
  </si>
  <si>
    <t>AVERAGEIFS</t>
    <phoneticPr fontId="1" type="noConversion"/>
  </si>
  <si>
    <t>총합조건문</t>
    <phoneticPr fontId="1" type="noConversion"/>
  </si>
  <si>
    <t>SUMIF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</si>
</sst>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_);[Red]\(&quot;₩&quot;#,##0\)"/>
    <numFmt numFmtId="177" formatCode="0_);[Red]\(0\)"/>
  </numFmts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F4D2-D8DB-D340-884C-C8488AD654D7}">
  <dimension ref="A1:S21"/>
  <sheetViews>
    <sheetView tabSelected="1" workbookViewId="0">
      <selection activeCell="I26" sqref="I26"/>
    </sheetView>
  </sheetViews>
  <sheetFormatPr defaultColWidth="11.07421875" defaultRowHeight="17.5" x14ac:dyDescent="0.45"/>
  <cols>
    <col min="1" max="1" width="10.69140625" style="2"/>
    <col min="2" max="2" width="29.84375" style="2" customWidth="1"/>
    <col min="3" max="3" width="14.3046875" style="2" bestFit="1" customWidth="1"/>
    <col min="4" max="4" width="8.3046875" style="3" customWidth="1"/>
    <col min="5" max="5" width="10.84375" style="1" bestFit="1" customWidth="1"/>
    <col min="6" max="6" width="8.61328125" style="2" bestFit="1" customWidth="1"/>
    <col min="7" max="8" width="4.921875" style="2" bestFit="1" customWidth="1"/>
    <col min="9" max="9" width="9.69140625" style="4" bestFit="1" customWidth="1"/>
    <col min="14" max="14" width="14.15234375" bestFit="1" customWidth="1"/>
    <col min="16" max="16" width="13.4609375" bestFit="1" customWidth="1"/>
    <col min="17" max="17" width="14.53515625" bestFit="1" customWidth="1"/>
    <col min="18" max="18" width="13.84375" bestFit="1" customWidth="1"/>
    <col min="19" max="19" width="27.3828125" bestFit="1" customWidth="1"/>
  </cols>
  <sheetData>
    <row r="1" spans="1:19" s="9" customFormat="1" x14ac:dyDescent="0.45">
      <c r="A1" s="5" t="s">
        <v>78</v>
      </c>
      <c r="B1" s="5" t="s">
        <v>0</v>
      </c>
      <c r="C1" s="5" t="s">
        <v>1</v>
      </c>
      <c r="D1" s="6" t="s">
        <v>5</v>
      </c>
      <c r="E1" s="7" t="s">
        <v>77</v>
      </c>
      <c r="F1" s="5" t="s">
        <v>2</v>
      </c>
      <c r="G1" s="5" t="s">
        <v>3</v>
      </c>
      <c r="H1" s="5" t="s">
        <v>4</v>
      </c>
      <c r="I1" s="8" t="s">
        <v>89</v>
      </c>
      <c r="K1" s="5" t="s">
        <v>79</v>
      </c>
      <c r="L1" s="5" t="s">
        <v>80</v>
      </c>
      <c r="M1" s="9" t="s">
        <v>81</v>
      </c>
      <c r="N1" s="9" t="s">
        <v>82</v>
      </c>
      <c r="O1" s="9" t="s">
        <v>83</v>
      </c>
      <c r="P1" s="9" t="s">
        <v>84</v>
      </c>
      <c r="Q1" s="9" t="s">
        <v>85</v>
      </c>
      <c r="S1" s="9" t="s">
        <v>86</v>
      </c>
    </row>
    <row r="2" spans="1:19" x14ac:dyDescent="0.45">
      <c r="A2" s="2" t="s">
        <v>48</v>
      </c>
      <c r="B2" s="2" t="s">
        <v>49</v>
      </c>
      <c r="C2" s="2" t="s">
        <v>50</v>
      </c>
      <c r="D2" s="3">
        <v>44</v>
      </c>
      <c r="E2" s="1">
        <v>40073</v>
      </c>
      <c r="F2" s="2" t="s">
        <v>51</v>
      </c>
      <c r="G2" s="2" t="s">
        <v>28</v>
      </c>
      <c r="H2" s="2" t="s">
        <v>11</v>
      </c>
      <c r="I2" s="4">
        <v>11500</v>
      </c>
      <c r="K2" s="1">
        <f ca="1">TODAY()</f>
        <v>46041</v>
      </c>
      <c r="L2" cm="1">
        <f t="array" aca="1" ref="L2:L21" ca="1" xml:space="preserve"> TODAY()-E2:E21</f>
        <v>5968</v>
      </c>
      <c r="M2" s="1" cm="1">
        <f t="array" aca="1" ref="M2:M21" ca="1">YEAR(TODAY())-YEAR(E2:E21)</f>
        <v>17</v>
      </c>
      <c r="N2">
        <f ca="1" xml:space="preserve"> M2 + 1</f>
        <v>18</v>
      </c>
      <c r="Q2" t="str">
        <f>TEXT(E2,"aaaa")</f>
        <v>목요일</v>
      </c>
    </row>
    <row r="3" spans="1:19" x14ac:dyDescent="0.45">
      <c r="A3" s="2" t="s">
        <v>52</v>
      </c>
      <c r="B3" s="2" t="s">
        <v>53</v>
      </c>
      <c r="C3" s="2" t="s">
        <v>54</v>
      </c>
      <c r="D3" s="3">
        <v>38</v>
      </c>
      <c r="E3" s="1">
        <v>41430</v>
      </c>
      <c r="F3" s="2" t="s">
        <v>51</v>
      </c>
      <c r="G3" s="2" t="s">
        <v>23</v>
      </c>
      <c r="I3" s="4">
        <v>6700</v>
      </c>
      <c r="K3" s="1">
        <f t="shared" ref="K3:K21" ca="1" si="0">TODAY()</f>
        <v>46041</v>
      </c>
      <c r="L3">
        <f ca="1"/>
        <v>4611</v>
      </c>
      <c r="M3">
        <f ca="1"/>
        <v>13</v>
      </c>
      <c r="N3">
        <f t="shared" ref="N3:N21" ca="1" si="1" xml:space="preserve"> M3 + 1</f>
        <v>14</v>
      </c>
      <c r="Q3" t="str">
        <f t="shared" ref="Q3:Q21" si="2">TEXT(E3,"aaaa")</f>
        <v>수요일</v>
      </c>
    </row>
    <row r="4" spans="1:19" x14ac:dyDescent="0.45">
      <c r="A4" s="2" t="s">
        <v>58</v>
      </c>
      <c r="B4" s="2" t="s">
        <v>59</v>
      </c>
      <c r="C4" s="2" t="s">
        <v>60</v>
      </c>
      <c r="D4" s="3">
        <v>29</v>
      </c>
      <c r="E4" s="1">
        <v>44027</v>
      </c>
      <c r="F4" s="2" t="s">
        <v>51</v>
      </c>
      <c r="G4" s="2" t="s">
        <v>15</v>
      </c>
      <c r="I4" s="4">
        <v>4900</v>
      </c>
      <c r="K4" s="1">
        <f t="shared" ca="1" si="0"/>
        <v>46041</v>
      </c>
      <c r="L4">
        <f ca="1"/>
        <v>2014</v>
      </c>
      <c r="M4">
        <f ca="1"/>
        <v>6</v>
      </c>
      <c r="N4">
        <f t="shared" ca="1" si="1"/>
        <v>7</v>
      </c>
      <c r="Q4" t="str">
        <f t="shared" si="2"/>
        <v>수요일</v>
      </c>
    </row>
    <row r="5" spans="1:19" x14ac:dyDescent="0.45">
      <c r="A5" s="2" t="s">
        <v>55</v>
      </c>
      <c r="B5" s="2" t="s">
        <v>56</v>
      </c>
      <c r="C5" s="2" t="s">
        <v>57</v>
      </c>
      <c r="D5" s="3">
        <v>26</v>
      </c>
      <c r="E5" s="1">
        <v>44613</v>
      </c>
      <c r="F5" s="2" t="s">
        <v>51</v>
      </c>
      <c r="G5" s="2" t="s">
        <v>19</v>
      </c>
      <c r="I5" s="4">
        <v>3400</v>
      </c>
      <c r="K5" s="1">
        <f t="shared" ca="1" si="0"/>
        <v>46041</v>
      </c>
      <c r="L5">
        <f ca="1"/>
        <v>1428</v>
      </c>
      <c r="M5">
        <f ca="1"/>
        <v>4</v>
      </c>
      <c r="N5">
        <f t="shared" ca="1" si="1"/>
        <v>5</v>
      </c>
      <c r="Q5" t="str">
        <f t="shared" si="2"/>
        <v>월요일</v>
      </c>
    </row>
    <row r="6" spans="1:19" x14ac:dyDescent="0.45">
      <c r="A6" s="2" t="s">
        <v>6</v>
      </c>
      <c r="B6" s="2" t="s">
        <v>7</v>
      </c>
      <c r="C6" s="2" t="s">
        <v>8</v>
      </c>
      <c r="D6" s="3">
        <v>48</v>
      </c>
      <c r="E6" s="1">
        <v>38426</v>
      </c>
      <c r="F6" s="2" t="s">
        <v>9</v>
      </c>
      <c r="G6" s="2" t="s">
        <v>10</v>
      </c>
      <c r="H6" s="2" t="s">
        <v>11</v>
      </c>
      <c r="I6" s="4">
        <v>12000</v>
      </c>
      <c r="K6" s="1">
        <f t="shared" ca="1" si="0"/>
        <v>46041</v>
      </c>
      <c r="L6">
        <f ca="1"/>
        <v>7615</v>
      </c>
      <c r="M6">
        <f ca="1"/>
        <v>21</v>
      </c>
      <c r="N6">
        <f t="shared" ca="1" si="1"/>
        <v>22</v>
      </c>
      <c r="Q6" t="str">
        <f t="shared" si="2"/>
        <v>화요일</v>
      </c>
    </row>
    <row r="7" spans="1:19" x14ac:dyDescent="0.45">
      <c r="A7" s="2" t="s">
        <v>20</v>
      </c>
      <c r="B7" s="2" t="s">
        <v>21</v>
      </c>
      <c r="C7" s="2" t="s">
        <v>22</v>
      </c>
      <c r="D7" s="3">
        <v>36</v>
      </c>
      <c r="E7" s="1">
        <v>41905</v>
      </c>
      <c r="F7" s="2" t="s">
        <v>9</v>
      </c>
      <c r="G7" s="2" t="s">
        <v>23</v>
      </c>
      <c r="I7" s="4">
        <v>6000</v>
      </c>
      <c r="K7" s="1">
        <f t="shared" ca="1" si="0"/>
        <v>46041</v>
      </c>
      <c r="L7">
        <f ca="1"/>
        <v>4136</v>
      </c>
      <c r="M7">
        <f ca="1"/>
        <v>12</v>
      </c>
      <c r="N7">
        <f t="shared" ca="1" si="1"/>
        <v>13</v>
      </c>
      <c r="Q7" t="str">
        <f t="shared" si="2"/>
        <v>화요일</v>
      </c>
    </row>
    <row r="8" spans="1:19" x14ac:dyDescent="0.45">
      <c r="A8" s="2" t="s">
        <v>12</v>
      </c>
      <c r="B8" s="2" t="s">
        <v>13</v>
      </c>
      <c r="C8" s="2" t="s">
        <v>14</v>
      </c>
      <c r="D8" s="3">
        <v>30</v>
      </c>
      <c r="E8" s="1">
        <v>43282</v>
      </c>
      <c r="F8" s="2" t="s">
        <v>9</v>
      </c>
      <c r="G8" s="2" t="s">
        <v>15</v>
      </c>
      <c r="I8" s="4">
        <v>4800</v>
      </c>
      <c r="K8" s="1">
        <f t="shared" ca="1" si="0"/>
        <v>46041</v>
      </c>
      <c r="L8">
        <f ca="1"/>
        <v>2759</v>
      </c>
      <c r="M8">
        <f ca="1"/>
        <v>8</v>
      </c>
      <c r="N8">
        <f t="shared" ca="1" si="1"/>
        <v>9</v>
      </c>
      <c r="Q8" t="str">
        <f t="shared" si="2"/>
        <v>일요일</v>
      </c>
    </row>
    <row r="9" spans="1:19" x14ac:dyDescent="0.45">
      <c r="A9" s="2" t="s">
        <v>16</v>
      </c>
      <c r="B9" s="2" t="s">
        <v>17</v>
      </c>
      <c r="C9" s="2" t="s">
        <v>18</v>
      </c>
      <c r="D9" s="3">
        <v>26</v>
      </c>
      <c r="E9" s="1">
        <v>44571</v>
      </c>
      <c r="F9" s="2" t="s">
        <v>9</v>
      </c>
      <c r="G9" s="2" t="s">
        <v>19</v>
      </c>
      <c r="I9" s="4">
        <v>3600</v>
      </c>
      <c r="K9" s="1">
        <f t="shared" ca="1" si="0"/>
        <v>46041</v>
      </c>
      <c r="L9">
        <f ca="1"/>
        <v>1470</v>
      </c>
      <c r="M9">
        <f ca="1"/>
        <v>4</v>
      </c>
      <c r="N9">
        <f t="shared" ca="1" si="1"/>
        <v>5</v>
      </c>
      <c r="Q9" t="str">
        <f t="shared" si="2"/>
        <v>월요일</v>
      </c>
    </row>
    <row r="10" spans="1:19" x14ac:dyDescent="0.45">
      <c r="A10" s="2" t="s">
        <v>24</v>
      </c>
      <c r="B10" s="2" t="s">
        <v>25</v>
      </c>
      <c r="C10" s="2" t="s">
        <v>26</v>
      </c>
      <c r="D10" s="3">
        <v>45</v>
      </c>
      <c r="E10" s="1">
        <v>39757</v>
      </c>
      <c r="F10" s="2" t="s">
        <v>27</v>
      </c>
      <c r="G10" s="2" t="s">
        <v>28</v>
      </c>
      <c r="H10" s="2" t="s">
        <v>11</v>
      </c>
      <c r="I10" s="4">
        <v>11000</v>
      </c>
      <c r="K10" s="1">
        <f t="shared" ca="1" si="0"/>
        <v>46041</v>
      </c>
      <c r="L10">
        <f ca="1"/>
        <v>6284</v>
      </c>
      <c r="M10">
        <f ca="1"/>
        <v>18</v>
      </c>
      <c r="N10">
        <f t="shared" ca="1" si="1"/>
        <v>19</v>
      </c>
      <c r="Q10" t="str">
        <f t="shared" si="2"/>
        <v>수요일</v>
      </c>
    </row>
    <row r="11" spans="1:19" x14ac:dyDescent="0.45">
      <c r="A11" s="2" t="s">
        <v>74</v>
      </c>
      <c r="B11" s="2" t="s">
        <v>75</v>
      </c>
      <c r="C11" s="2" t="s">
        <v>76</v>
      </c>
      <c r="D11" s="3">
        <v>34</v>
      </c>
      <c r="E11" s="1">
        <v>42606</v>
      </c>
      <c r="F11" s="2" t="s">
        <v>27</v>
      </c>
      <c r="G11" s="2" t="s">
        <v>23</v>
      </c>
      <c r="I11" s="4">
        <v>6900</v>
      </c>
      <c r="K11" s="1">
        <f t="shared" ca="1" si="0"/>
        <v>46041</v>
      </c>
      <c r="L11">
        <f ca="1"/>
        <v>3435</v>
      </c>
      <c r="M11">
        <f ca="1"/>
        <v>10</v>
      </c>
      <c r="N11">
        <f t="shared" ca="1" si="1"/>
        <v>11</v>
      </c>
      <c r="Q11" t="str">
        <f t="shared" si="2"/>
        <v>수요일</v>
      </c>
    </row>
    <row r="12" spans="1:19" x14ac:dyDescent="0.45">
      <c r="A12" s="2" t="s">
        <v>29</v>
      </c>
      <c r="B12" s="2" t="s">
        <v>30</v>
      </c>
      <c r="C12" s="2" t="s">
        <v>31</v>
      </c>
      <c r="D12" s="3">
        <v>31</v>
      </c>
      <c r="E12" s="1">
        <v>43542</v>
      </c>
      <c r="F12" s="2" t="s">
        <v>27</v>
      </c>
      <c r="G12" s="2" t="s">
        <v>15</v>
      </c>
      <c r="I12" s="4">
        <v>5100</v>
      </c>
      <c r="K12" s="1">
        <f t="shared" ca="1" si="0"/>
        <v>46041</v>
      </c>
      <c r="L12">
        <f ca="1"/>
        <v>2499</v>
      </c>
      <c r="M12">
        <f ca="1"/>
        <v>7</v>
      </c>
      <c r="N12">
        <f t="shared" ca="1" si="1"/>
        <v>8</v>
      </c>
      <c r="Q12" t="str">
        <f t="shared" si="2"/>
        <v>월요일</v>
      </c>
    </row>
    <row r="13" spans="1:19" x14ac:dyDescent="0.45">
      <c r="A13" s="2" t="s">
        <v>32</v>
      </c>
      <c r="B13" s="2" t="s">
        <v>33</v>
      </c>
      <c r="C13" s="2" t="s">
        <v>34</v>
      </c>
      <c r="D13" s="3">
        <v>27</v>
      </c>
      <c r="E13" s="1">
        <v>44410</v>
      </c>
      <c r="F13" s="2" t="s">
        <v>27</v>
      </c>
      <c r="G13" s="2" t="s">
        <v>19</v>
      </c>
      <c r="I13" s="4">
        <v>3400</v>
      </c>
      <c r="K13" s="1">
        <f t="shared" ca="1" si="0"/>
        <v>46041</v>
      </c>
      <c r="L13">
        <f ca="1"/>
        <v>1631</v>
      </c>
      <c r="M13">
        <f ca="1"/>
        <v>5</v>
      </c>
      <c r="N13">
        <f t="shared" ca="1" si="1"/>
        <v>6</v>
      </c>
      <c r="Q13" t="str">
        <f t="shared" si="2"/>
        <v>월요일</v>
      </c>
    </row>
    <row r="14" spans="1:19" x14ac:dyDescent="0.45">
      <c r="A14" s="2" t="s">
        <v>61</v>
      </c>
      <c r="B14" s="2" t="s">
        <v>62</v>
      </c>
      <c r="C14" s="2" t="s">
        <v>63</v>
      </c>
      <c r="D14" s="3">
        <v>49</v>
      </c>
      <c r="E14" s="1">
        <v>37679</v>
      </c>
      <c r="F14" s="2" t="s">
        <v>64</v>
      </c>
      <c r="G14" s="2" t="s">
        <v>10</v>
      </c>
      <c r="H14" s="2" t="s">
        <v>11</v>
      </c>
      <c r="I14" s="4">
        <v>14500</v>
      </c>
      <c r="K14" s="1">
        <f t="shared" ca="1" si="0"/>
        <v>46041</v>
      </c>
      <c r="L14">
        <f ca="1"/>
        <v>8362</v>
      </c>
      <c r="M14">
        <f ca="1"/>
        <v>23</v>
      </c>
      <c r="N14">
        <f t="shared" ca="1" si="1"/>
        <v>24</v>
      </c>
      <c r="Q14" t="str">
        <f t="shared" si="2"/>
        <v>목요일</v>
      </c>
    </row>
    <row r="15" spans="1:19" x14ac:dyDescent="0.45">
      <c r="A15" s="2" t="s">
        <v>65</v>
      </c>
      <c r="B15" s="2" t="s">
        <v>66</v>
      </c>
      <c r="C15" s="2" t="s">
        <v>67</v>
      </c>
      <c r="D15" s="3">
        <v>37</v>
      </c>
      <c r="E15" s="1">
        <v>41242</v>
      </c>
      <c r="F15" s="2" t="s">
        <v>64</v>
      </c>
      <c r="G15" s="2" t="s">
        <v>23</v>
      </c>
      <c r="I15" s="4">
        <v>7500</v>
      </c>
      <c r="K15" s="1">
        <f t="shared" ca="1" si="0"/>
        <v>46041</v>
      </c>
      <c r="L15">
        <f ca="1"/>
        <v>4799</v>
      </c>
      <c r="M15">
        <f ca="1"/>
        <v>14</v>
      </c>
      <c r="N15">
        <f t="shared" ca="1" si="1"/>
        <v>15</v>
      </c>
      <c r="Q15" t="str">
        <f t="shared" si="2"/>
        <v>목요일</v>
      </c>
    </row>
    <row r="16" spans="1:19" x14ac:dyDescent="0.45">
      <c r="A16" s="2" t="s">
        <v>68</v>
      </c>
      <c r="B16" s="2" t="s">
        <v>69</v>
      </c>
      <c r="C16" s="2" t="s">
        <v>70</v>
      </c>
      <c r="D16" s="3">
        <v>30</v>
      </c>
      <c r="E16" s="1">
        <v>43385</v>
      </c>
      <c r="F16" s="2" t="s">
        <v>64</v>
      </c>
      <c r="G16" s="2" t="s">
        <v>15</v>
      </c>
      <c r="I16" s="4">
        <v>5800</v>
      </c>
      <c r="K16" s="1">
        <f t="shared" ca="1" si="0"/>
        <v>46041</v>
      </c>
      <c r="L16">
        <f ca="1"/>
        <v>2656</v>
      </c>
      <c r="M16">
        <f ca="1"/>
        <v>8</v>
      </c>
      <c r="N16">
        <f t="shared" ca="1" si="1"/>
        <v>9</v>
      </c>
      <c r="Q16" t="str">
        <f t="shared" si="2"/>
        <v>금요일</v>
      </c>
    </row>
    <row r="17" spans="1:17" x14ac:dyDescent="0.45">
      <c r="A17" s="2" t="s">
        <v>71</v>
      </c>
      <c r="B17" s="2" t="s">
        <v>72</v>
      </c>
      <c r="C17" s="2" t="s">
        <v>73</v>
      </c>
      <c r="D17" s="3">
        <v>27</v>
      </c>
      <c r="E17" s="1">
        <v>44719</v>
      </c>
      <c r="F17" s="2" t="s">
        <v>64</v>
      </c>
      <c r="G17" s="2" t="s">
        <v>19</v>
      </c>
      <c r="I17" s="4">
        <v>4300</v>
      </c>
      <c r="K17" s="1">
        <f t="shared" ca="1" si="0"/>
        <v>46041</v>
      </c>
      <c r="L17">
        <f ca="1"/>
        <v>1322</v>
      </c>
      <c r="M17">
        <f ca="1"/>
        <v>4</v>
      </c>
      <c r="N17">
        <f t="shared" ca="1" si="1"/>
        <v>5</v>
      </c>
      <c r="Q17" t="str">
        <f t="shared" si="2"/>
        <v>화요일</v>
      </c>
    </row>
    <row r="18" spans="1:17" x14ac:dyDescent="0.45">
      <c r="A18" s="2" t="s">
        <v>35</v>
      </c>
      <c r="B18" s="2" t="s">
        <v>36</v>
      </c>
      <c r="C18" s="2" t="s">
        <v>37</v>
      </c>
      <c r="D18" s="3">
        <v>47</v>
      </c>
      <c r="E18" s="1">
        <v>38127</v>
      </c>
      <c r="F18" s="2" t="s">
        <v>38</v>
      </c>
      <c r="G18" s="2" t="s">
        <v>10</v>
      </c>
      <c r="H18" s="2" t="s">
        <v>11</v>
      </c>
      <c r="I18" s="4">
        <v>14000</v>
      </c>
      <c r="K18" s="1">
        <f t="shared" ca="1" si="0"/>
        <v>46041</v>
      </c>
      <c r="L18">
        <f ca="1"/>
        <v>7914</v>
      </c>
      <c r="M18">
        <f ca="1"/>
        <v>22</v>
      </c>
      <c r="N18">
        <f t="shared" ca="1" si="1"/>
        <v>23</v>
      </c>
      <c r="Q18" t="str">
        <f t="shared" si="2"/>
        <v>목요일</v>
      </c>
    </row>
    <row r="19" spans="1:17" x14ac:dyDescent="0.45">
      <c r="A19" s="2" t="s">
        <v>39</v>
      </c>
      <c r="B19" s="2" t="s">
        <v>40</v>
      </c>
      <c r="C19" s="2" t="s">
        <v>41</v>
      </c>
      <c r="D19" s="3">
        <v>35</v>
      </c>
      <c r="E19" s="1">
        <v>42352</v>
      </c>
      <c r="F19" s="2" t="s">
        <v>38</v>
      </c>
      <c r="G19" s="2" t="s">
        <v>23</v>
      </c>
      <c r="I19" s="4">
        <v>7300</v>
      </c>
      <c r="K19" s="1">
        <f t="shared" ca="1" si="0"/>
        <v>46041</v>
      </c>
      <c r="L19">
        <f ca="1"/>
        <v>3689</v>
      </c>
      <c r="M19">
        <f ca="1"/>
        <v>11</v>
      </c>
      <c r="N19">
        <f t="shared" ca="1" si="1"/>
        <v>12</v>
      </c>
      <c r="Q19" t="str">
        <f t="shared" si="2"/>
        <v>월요일</v>
      </c>
    </row>
    <row r="20" spans="1:17" x14ac:dyDescent="0.45">
      <c r="A20" s="2" t="s">
        <v>42</v>
      </c>
      <c r="B20" s="2" t="s">
        <v>43</v>
      </c>
      <c r="C20" s="2" t="s">
        <v>44</v>
      </c>
      <c r="D20" s="3">
        <v>32</v>
      </c>
      <c r="E20" s="1">
        <v>43220</v>
      </c>
      <c r="F20" s="2" t="s">
        <v>38</v>
      </c>
      <c r="G20" s="2" t="s">
        <v>15</v>
      </c>
      <c r="I20" s="4">
        <v>6000</v>
      </c>
      <c r="K20" s="1">
        <f t="shared" ca="1" si="0"/>
        <v>46041</v>
      </c>
      <c r="L20">
        <f ca="1"/>
        <v>2821</v>
      </c>
      <c r="M20">
        <f ca="1"/>
        <v>8</v>
      </c>
      <c r="N20">
        <f t="shared" ca="1" si="1"/>
        <v>9</v>
      </c>
      <c r="Q20" t="str">
        <f t="shared" si="2"/>
        <v>월요일</v>
      </c>
    </row>
    <row r="21" spans="1:17" x14ac:dyDescent="0.45">
      <c r="A21" s="2" t="s">
        <v>45</v>
      </c>
      <c r="B21" s="2" t="s">
        <v>46</v>
      </c>
      <c r="C21" s="2" t="s">
        <v>47</v>
      </c>
      <c r="D21" s="3">
        <v>28</v>
      </c>
      <c r="E21" s="1">
        <v>44326</v>
      </c>
      <c r="F21" s="2" t="s">
        <v>38</v>
      </c>
      <c r="G21" s="2" t="s">
        <v>19</v>
      </c>
      <c r="I21" s="4">
        <v>4500</v>
      </c>
      <c r="K21" s="1">
        <f t="shared" ca="1" si="0"/>
        <v>46041</v>
      </c>
      <c r="L21">
        <f ca="1"/>
        <v>1715</v>
      </c>
      <c r="M21">
        <f ca="1"/>
        <v>5</v>
      </c>
      <c r="N21">
        <f t="shared" ca="1" si="1"/>
        <v>6</v>
      </c>
      <c r="Q21" t="str">
        <f t="shared" si="2"/>
        <v>월요일</v>
      </c>
    </row>
  </sheetData>
  <sortState xmlns:xlrd2="http://schemas.microsoft.com/office/spreadsheetml/2017/richdata2" ref="A2:I21">
    <sortCondition ref="F2:F21" customList="마케팅팀,영업팀,기획팀,연구팀,개발팀"/>
    <sortCondition descending="1" ref="D2:D2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ACFA-DE4D-4B71-940B-DF819E982EC7}">
  <dimension ref="A1:R21"/>
  <sheetViews>
    <sheetView topLeftCell="N19" workbookViewId="0">
      <selection activeCell="Q6" sqref="Q6"/>
    </sheetView>
  </sheetViews>
  <sheetFormatPr defaultRowHeight="17.5" x14ac:dyDescent="0.45"/>
  <cols>
    <col min="5" max="5" width="10.84375" bestFit="1" customWidth="1"/>
    <col min="9" max="9" width="9.69140625" style="4" bestFit="1" customWidth="1"/>
    <col min="10" max="10" width="0" hidden="1" customWidth="1"/>
    <col min="11" max="11" width="28.07421875" bestFit="1" customWidth="1"/>
    <col min="12" max="12" width="15.53515625" bestFit="1" customWidth="1"/>
    <col min="13" max="13" width="19.69140625" bestFit="1" customWidth="1"/>
    <col min="14" max="14" width="11.3828125" bestFit="1" customWidth="1"/>
    <col min="16" max="16" width="18.3828125" bestFit="1" customWidth="1"/>
  </cols>
  <sheetData>
    <row r="1" spans="1:18" s="9" customFormat="1" x14ac:dyDescent="0.45">
      <c r="A1" s="5" t="s">
        <v>78</v>
      </c>
      <c r="B1" s="5" t="s">
        <v>0</v>
      </c>
      <c r="C1" s="5" t="s">
        <v>1</v>
      </c>
      <c r="D1" s="6" t="s">
        <v>5</v>
      </c>
      <c r="E1" s="7" t="s">
        <v>77</v>
      </c>
      <c r="F1" s="5" t="s">
        <v>2</v>
      </c>
      <c r="G1" s="5" t="s">
        <v>3</v>
      </c>
      <c r="H1" s="5" t="s">
        <v>4</v>
      </c>
      <c r="I1" s="8" t="s">
        <v>89</v>
      </c>
      <c r="K1" s="5" t="s">
        <v>87</v>
      </c>
      <c r="L1" s="9" t="s">
        <v>88</v>
      </c>
      <c r="M1" s="9" t="s">
        <v>90</v>
      </c>
      <c r="N1" s="9" t="s">
        <v>92</v>
      </c>
      <c r="O1" s="9" t="s">
        <v>93</v>
      </c>
    </row>
    <row r="2" spans="1:18" x14ac:dyDescent="0.45">
      <c r="A2" s="2" t="s">
        <v>48</v>
      </c>
      <c r="B2" s="2" t="s">
        <v>49</v>
      </c>
      <c r="C2" s="2" t="s">
        <v>50</v>
      </c>
      <c r="D2" s="3">
        <v>44</v>
      </c>
      <c r="E2" s="1">
        <v>40073</v>
      </c>
      <c r="F2" s="2" t="s">
        <v>51</v>
      </c>
      <c r="G2" s="2" t="s">
        <v>28</v>
      </c>
      <c r="H2" s="2" t="s">
        <v>11</v>
      </c>
      <c r="I2" s="4">
        <v>11500</v>
      </c>
      <c r="K2" s="10" t="s">
        <v>91</v>
      </c>
      <c r="L2" s="5"/>
      <c r="M2" s="5"/>
      <c r="N2" s="9"/>
      <c r="O2" t="str" cm="1">
        <f t="array" ref="O2" xml:space="preserve"> _xlfn.IFS(D2&gt;40,"40대",D2&gt;=20,"20대")</f>
        <v>40대</v>
      </c>
    </row>
    <row r="3" spans="1:18" x14ac:dyDescent="0.45">
      <c r="A3" s="2" t="s">
        <v>52</v>
      </c>
      <c r="B3" s="2" t="s">
        <v>53</v>
      </c>
      <c r="C3" s="2" t="s">
        <v>54</v>
      </c>
      <c r="D3" s="3">
        <v>38</v>
      </c>
      <c r="E3" s="1">
        <v>41430</v>
      </c>
      <c r="F3" s="2" t="s">
        <v>51</v>
      </c>
      <c r="G3" s="2" t="s">
        <v>23</v>
      </c>
      <c r="H3" s="2"/>
      <c r="I3" s="4">
        <v>6700</v>
      </c>
      <c r="O3" t="str" cm="1">
        <f t="array" ref="O3" xml:space="preserve"> _xlfn.IFS(D3&gt;40,"40대",D3&gt;=20,"20대")</f>
        <v>20대</v>
      </c>
    </row>
    <row r="4" spans="1:18" x14ac:dyDescent="0.45">
      <c r="A4" s="2" t="s">
        <v>58</v>
      </c>
      <c r="B4" s="2" t="s">
        <v>59</v>
      </c>
      <c r="C4" s="2" t="s">
        <v>60</v>
      </c>
      <c r="D4" s="3">
        <v>29</v>
      </c>
      <c r="E4" s="1">
        <v>44027</v>
      </c>
      <c r="F4" s="2" t="s">
        <v>51</v>
      </c>
      <c r="G4" s="2" t="s">
        <v>15</v>
      </c>
      <c r="H4" s="2"/>
      <c r="I4" s="4">
        <v>4900</v>
      </c>
      <c r="O4" t="str" cm="1">
        <f t="array" ref="O4" xml:space="preserve"> _xlfn.IFS(D4&gt;40,"40대",D4&gt;=20,"20대")</f>
        <v>20대</v>
      </c>
    </row>
    <row r="5" spans="1:18" x14ac:dyDescent="0.45">
      <c r="A5" s="2" t="s">
        <v>55</v>
      </c>
      <c r="B5" s="2" t="s">
        <v>56</v>
      </c>
      <c r="C5" s="2" t="s">
        <v>57</v>
      </c>
      <c r="D5" s="3">
        <v>26</v>
      </c>
      <c r="E5" s="1">
        <v>44613</v>
      </c>
      <c r="F5" s="2" t="s">
        <v>51</v>
      </c>
      <c r="G5" s="2" t="s">
        <v>19</v>
      </c>
      <c r="H5" s="2"/>
      <c r="I5" s="4">
        <v>3400</v>
      </c>
      <c r="O5" t="str" cm="1">
        <f t="array" ref="O5" xml:space="preserve"> _xlfn.IFS(D5&gt;40,"40대",D5&gt;=20,"20대")</f>
        <v>20대</v>
      </c>
      <c r="P5" t="s">
        <v>94</v>
      </c>
      <c r="Q5">
        <f>COUNTIF(G2:G21,"차장")</f>
        <v>2</v>
      </c>
    </row>
    <row r="6" spans="1:18" x14ac:dyDescent="0.45">
      <c r="A6" s="2" t="s">
        <v>6</v>
      </c>
      <c r="B6" s="2" t="s">
        <v>7</v>
      </c>
      <c r="C6" s="2" t="s">
        <v>8</v>
      </c>
      <c r="D6" s="3">
        <v>48</v>
      </c>
      <c r="E6" s="1">
        <v>38426</v>
      </c>
      <c r="F6" s="2" t="s">
        <v>9</v>
      </c>
      <c r="G6" s="2" t="s">
        <v>10</v>
      </c>
      <c r="H6" s="2" t="s">
        <v>11</v>
      </c>
      <c r="I6" s="4">
        <v>12000</v>
      </c>
      <c r="O6" t="str" cm="1">
        <f t="array" ref="O6" xml:space="preserve"> _xlfn.IFS(D6&gt;40,"40대",D6&gt;=20,"20대")</f>
        <v>40대</v>
      </c>
      <c r="P6" t="s">
        <v>95</v>
      </c>
      <c r="Q6">
        <f>COUNTIF(I2:I21,S20&gt;="10000")</f>
        <v>0</v>
      </c>
    </row>
    <row r="7" spans="1:18" x14ac:dyDescent="0.45">
      <c r="A7" s="2" t="s">
        <v>20</v>
      </c>
      <c r="B7" s="2" t="s">
        <v>21</v>
      </c>
      <c r="C7" s="2" t="s">
        <v>22</v>
      </c>
      <c r="D7" s="3">
        <v>36</v>
      </c>
      <c r="E7" s="1">
        <v>41905</v>
      </c>
      <c r="F7" s="2" t="s">
        <v>9</v>
      </c>
      <c r="G7" s="2" t="s">
        <v>23</v>
      </c>
      <c r="H7" s="2"/>
      <c r="I7" s="4">
        <v>6000</v>
      </c>
      <c r="O7" t="str" cm="1">
        <f t="array" ref="O7" xml:space="preserve"> _xlfn.IFS(D7&gt;40,"40대",D7&gt;=20,"20대")</f>
        <v>20대</v>
      </c>
      <c r="P7" t="s">
        <v>96</v>
      </c>
      <c r="Q7">
        <f>COUNTIF(I2:I21,"&gt;="&amp;AVERAGE(I2:I21))</f>
        <v>7</v>
      </c>
    </row>
    <row r="8" spans="1:18" x14ac:dyDescent="0.45">
      <c r="A8" s="2" t="s">
        <v>12</v>
      </c>
      <c r="B8" s="2" t="s">
        <v>13</v>
      </c>
      <c r="C8" s="2" t="s">
        <v>14</v>
      </c>
      <c r="D8" s="3">
        <v>30</v>
      </c>
      <c r="E8" s="1">
        <v>43282</v>
      </c>
      <c r="F8" s="2" t="s">
        <v>9</v>
      </c>
      <c r="G8" s="2" t="s">
        <v>15</v>
      </c>
      <c r="H8" s="2"/>
      <c r="I8" s="4">
        <v>4800</v>
      </c>
      <c r="O8" t="str" cm="1">
        <f t="array" ref="O8" xml:space="preserve"> _xlfn.IFS(D8&gt;40,"40대",D8&gt;=20,"20대")</f>
        <v>20대</v>
      </c>
    </row>
    <row r="9" spans="1:18" x14ac:dyDescent="0.45">
      <c r="A9" s="2" t="s">
        <v>16</v>
      </c>
      <c r="B9" s="2" t="s">
        <v>17</v>
      </c>
      <c r="C9" s="2" t="s">
        <v>18</v>
      </c>
      <c r="D9" s="3">
        <v>26</v>
      </c>
      <c r="E9" s="1">
        <v>44571</v>
      </c>
      <c r="F9" s="2" t="s">
        <v>9</v>
      </c>
      <c r="G9" s="2" t="s">
        <v>19</v>
      </c>
      <c r="H9" s="2"/>
      <c r="I9" s="4">
        <v>3600</v>
      </c>
      <c r="O9" t="str" cm="1">
        <f t="array" ref="O9" xml:space="preserve"> _xlfn.IFS(D9&gt;40,"40대",D9&gt;=20,"20대")</f>
        <v>20대</v>
      </c>
    </row>
    <row r="10" spans="1:18" x14ac:dyDescent="0.45">
      <c r="A10" s="2" t="s">
        <v>24</v>
      </c>
      <c r="B10" s="2" t="s">
        <v>25</v>
      </c>
      <c r="C10" s="2" t="s">
        <v>26</v>
      </c>
      <c r="D10" s="3">
        <v>45</v>
      </c>
      <c r="E10" s="1">
        <v>39757</v>
      </c>
      <c r="F10" s="2" t="s">
        <v>27</v>
      </c>
      <c r="G10" s="2" t="s">
        <v>28</v>
      </c>
      <c r="H10" s="2" t="s">
        <v>11</v>
      </c>
      <c r="I10" s="4">
        <v>11000</v>
      </c>
      <c r="O10" t="str" cm="1">
        <f t="array" ref="O10" xml:space="preserve"> _xlfn.IFS(D10&gt;40,"40대",D10&gt;=20,"20대")</f>
        <v>40대</v>
      </c>
    </row>
    <row r="11" spans="1:18" x14ac:dyDescent="0.45">
      <c r="A11" s="2" t="s">
        <v>74</v>
      </c>
      <c r="B11" s="2" t="s">
        <v>75</v>
      </c>
      <c r="C11" s="2" t="s">
        <v>76</v>
      </c>
      <c r="D11" s="3">
        <v>34</v>
      </c>
      <c r="E11" s="1">
        <v>42606</v>
      </c>
      <c r="F11" s="2" t="s">
        <v>27</v>
      </c>
      <c r="G11" s="2" t="s">
        <v>23</v>
      </c>
      <c r="H11" s="2"/>
      <c r="I11" s="4">
        <v>6900</v>
      </c>
      <c r="O11" t="str" cm="1">
        <f t="array" ref="O11" xml:space="preserve"> _xlfn.IFS(D11&gt;40,"40대",D11&gt;=20,"20대")</f>
        <v>20대</v>
      </c>
      <c r="P11" t="s">
        <v>97</v>
      </c>
      <c r="Q11" t="s">
        <v>100</v>
      </c>
    </row>
    <row r="12" spans="1:18" x14ac:dyDescent="0.45">
      <c r="A12" s="2" t="s">
        <v>29</v>
      </c>
      <c r="B12" s="2" t="s">
        <v>30</v>
      </c>
      <c r="C12" s="2" t="s">
        <v>31</v>
      </c>
      <c r="D12" s="3">
        <v>31</v>
      </c>
      <c r="E12" s="1">
        <v>43542</v>
      </c>
      <c r="F12" s="2" t="s">
        <v>27</v>
      </c>
      <c r="G12" s="2" t="s">
        <v>15</v>
      </c>
      <c r="H12" s="2"/>
      <c r="I12" s="4">
        <v>5100</v>
      </c>
      <c r="O12" t="str" cm="1">
        <f t="array" ref="O12" xml:space="preserve"> _xlfn.IFS(D12&gt;40,"40대",D12&gt;=20,"20대")</f>
        <v>20대</v>
      </c>
      <c r="P12" t="s">
        <v>98</v>
      </c>
      <c r="Q12" t="s">
        <v>101</v>
      </c>
    </row>
    <row r="13" spans="1:18" x14ac:dyDescent="0.45">
      <c r="A13" s="2" t="s">
        <v>32</v>
      </c>
      <c r="B13" s="2" t="s">
        <v>33</v>
      </c>
      <c r="C13" s="2" t="s">
        <v>34</v>
      </c>
      <c r="D13" s="3">
        <v>27</v>
      </c>
      <c r="E13" s="1">
        <v>44410</v>
      </c>
      <c r="F13" s="2" t="s">
        <v>27</v>
      </c>
      <c r="G13" s="2" t="s">
        <v>19</v>
      </c>
      <c r="H13" s="2"/>
      <c r="I13" s="4">
        <v>3400</v>
      </c>
      <c r="O13" t="str" cm="1">
        <f t="array" ref="O13" xml:space="preserve"> _xlfn.IFS(D13&gt;40,"40대",D13&gt;=20,"20대")</f>
        <v>20대</v>
      </c>
      <c r="P13" t="s">
        <v>102</v>
      </c>
      <c r="Q13" t="s">
        <v>103</v>
      </c>
    </row>
    <row r="14" spans="1:18" x14ac:dyDescent="0.45">
      <c r="A14" s="2" t="s">
        <v>61</v>
      </c>
      <c r="B14" s="2" t="s">
        <v>62</v>
      </c>
      <c r="C14" s="2" t="s">
        <v>63</v>
      </c>
      <c r="D14" s="3">
        <v>49</v>
      </c>
      <c r="E14" s="1">
        <v>37679</v>
      </c>
      <c r="F14" s="2" t="s">
        <v>64</v>
      </c>
      <c r="G14" s="2" t="s">
        <v>10</v>
      </c>
      <c r="H14" s="2" t="s">
        <v>11</v>
      </c>
      <c r="I14" s="4">
        <v>14500</v>
      </c>
      <c r="O14" t="str" cm="1">
        <f t="array" ref="O14" xml:space="preserve"> _xlfn.IFS(D14&gt;40,"40대",D14&gt;=20,"20대")</f>
        <v>40대</v>
      </c>
    </row>
    <row r="15" spans="1:18" x14ac:dyDescent="0.45">
      <c r="A15" s="2" t="s">
        <v>65</v>
      </c>
      <c r="B15" s="2" t="s">
        <v>66</v>
      </c>
      <c r="C15" s="2" t="s">
        <v>67</v>
      </c>
      <c r="D15" s="3">
        <v>37</v>
      </c>
      <c r="E15" s="1">
        <v>41242</v>
      </c>
      <c r="F15" s="2" t="s">
        <v>64</v>
      </c>
      <c r="G15" s="2" t="s">
        <v>23</v>
      </c>
      <c r="H15" s="2"/>
      <c r="I15" s="4">
        <v>7500</v>
      </c>
      <c r="O15" t="str" cm="1">
        <f t="array" ref="O15" xml:space="preserve"> _xlfn.IFS(D15&gt;40,"40대",D15&gt;=20,"20대")</f>
        <v>20대</v>
      </c>
      <c r="P15" t="s">
        <v>99</v>
      </c>
      <c r="R15">
        <f>AVERAGEIF(G2:G21,"과장",I2:I21)</f>
        <v>6880</v>
      </c>
    </row>
    <row r="16" spans="1:18" x14ac:dyDescent="0.45">
      <c r="A16" s="2" t="s">
        <v>68</v>
      </c>
      <c r="B16" s="2" t="s">
        <v>69</v>
      </c>
      <c r="C16" s="2" t="s">
        <v>70</v>
      </c>
      <c r="D16" s="3">
        <v>30</v>
      </c>
      <c r="E16" s="1">
        <v>43385</v>
      </c>
      <c r="F16" s="2" t="s">
        <v>64</v>
      </c>
      <c r="G16" s="2" t="s">
        <v>15</v>
      </c>
      <c r="H16" s="2"/>
      <c r="I16" s="4">
        <v>5800</v>
      </c>
      <c r="O16" t="str" cm="1">
        <f t="array" ref="O16" xml:space="preserve"> _xlfn.IFS(D16&gt;40,"40대",D16&gt;=20,"20대")</f>
        <v>20대</v>
      </c>
    </row>
    <row r="17" spans="1:17" x14ac:dyDescent="0.45">
      <c r="A17" s="2" t="s">
        <v>71</v>
      </c>
      <c r="B17" s="2" t="s">
        <v>72</v>
      </c>
      <c r="C17" s="2" t="s">
        <v>73</v>
      </c>
      <c r="D17" s="3">
        <v>27</v>
      </c>
      <c r="E17" s="1">
        <v>44719</v>
      </c>
      <c r="F17" s="2" t="s">
        <v>64</v>
      </c>
      <c r="G17" s="2" t="s">
        <v>19</v>
      </c>
      <c r="H17" s="2"/>
      <c r="I17" s="4">
        <v>4300</v>
      </c>
      <c r="O17" t="str" cm="1">
        <f t="array" ref="O17" xml:space="preserve"> _xlfn.IFS(D17&gt;40,"40대",D17&gt;=20,"20대")</f>
        <v>20대</v>
      </c>
      <c r="P17" t="s">
        <v>104</v>
      </c>
      <c r="Q17" t="s">
        <v>105</v>
      </c>
    </row>
    <row r="18" spans="1:17" x14ac:dyDescent="0.45">
      <c r="A18" s="2" t="s">
        <v>35</v>
      </c>
      <c r="B18" s="2" t="s">
        <v>36</v>
      </c>
      <c r="C18" s="2" t="s">
        <v>37</v>
      </c>
      <c r="D18" s="3">
        <v>47</v>
      </c>
      <c r="E18" s="1">
        <v>38127</v>
      </c>
      <c r="F18" s="2" t="s">
        <v>38</v>
      </c>
      <c r="G18" s="2" t="s">
        <v>10</v>
      </c>
      <c r="H18" s="2" t="s">
        <v>11</v>
      </c>
      <c r="I18" s="4">
        <v>14000</v>
      </c>
      <c r="O18" t="str" cm="1">
        <f t="array" ref="O18" xml:space="preserve"> _xlfn.IFS(D18&gt;40,"40대",D18&gt;=20,"20대")</f>
        <v>40대</v>
      </c>
    </row>
    <row r="19" spans="1:17" x14ac:dyDescent="0.45">
      <c r="A19" s="2" t="s">
        <v>39</v>
      </c>
      <c r="B19" s="2" t="s">
        <v>40</v>
      </c>
      <c r="C19" s="2" t="s">
        <v>41</v>
      </c>
      <c r="D19" s="3">
        <v>35</v>
      </c>
      <c r="E19" s="1">
        <v>42352</v>
      </c>
      <c r="F19" s="2" t="s">
        <v>38</v>
      </c>
      <c r="G19" s="2" t="s">
        <v>23</v>
      </c>
      <c r="H19" s="2"/>
      <c r="I19" s="4">
        <v>7300</v>
      </c>
      <c r="O19" t="str" cm="1">
        <f t="array" ref="O19" xml:space="preserve"> _xlfn.IFS(D19&gt;40,"40대",D19&gt;=20,"20대")</f>
        <v>20대</v>
      </c>
    </row>
    <row r="20" spans="1:17" x14ac:dyDescent="0.45">
      <c r="A20" s="2" t="s">
        <v>42</v>
      </c>
      <c r="B20" s="2" t="s">
        <v>43</v>
      </c>
      <c r="C20" s="2" t="s">
        <v>44</v>
      </c>
      <c r="D20" s="3">
        <v>32</v>
      </c>
      <c r="E20" s="1">
        <v>43220</v>
      </c>
      <c r="F20" s="2" t="s">
        <v>38</v>
      </c>
      <c r="G20" s="2" t="s">
        <v>15</v>
      </c>
      <c r="H20" s="2"/>
      <c r="I20" s="4">
        <v>6000</v>
      </c>
      <c r="O20" t="str" cm="1">
        <f t="array" ref="O20" xml:space="preserve"> _xlfn.IFS(D20&gt;40,"40대",D20&gt;=20,"20대")</f>
        <v>20대</v>
      </c>
    </row>
    <row r="21" spans="1:17" x14ac:dyDescent="0.45">
      <c r="A21" s="2" t="s">
        <v>45</v>
      </c>
      <c r="B21" s="2" t="s">
        <v>46</v>
      </c>
      <c r="C21" s="2" t="s">
        <v>47</v>
      </c>
      <c r="D21" s="3">
        <v>28</v>
      </c>
      <c r="E21" s="1">
        <v>44326</v>
      </c>
      <c r="F21" s="2" t="s">
        <v>38</v>
      </c>
      <c r="G21" s="2" t="s">
        <v>19</v>
      </c>
      <c r="H21" s="2"/>
      <c r="I21" s="4">
        <v>4500</v>
      </c>
      <c r="O21" t="str" cm="1">
        <f t="array" ref="O21" xml:space="preserve"> _xlfn.IFS(D21&gt;40,"40대",D21&gt;=20,"20대")</f>
        <v>20대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Cecile</dc:creator>
  <cp:lastModifiedBy>수현 변</cp:lastModifiedBy>
  <dcterms:created xsi:type="dcterms:W3CDTF">2025-03-14T06:25:14Z</dcterms:created>
  <dcterms:modified xsi:type="dcterms:W3CDTF">2026-01-20T01:41:02Z</dcterms:modified>
</cp:coreProperties>
</file>